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/>
  <mc:AlternateContent xmlns:mc="http://schemas.openxmlformats.org/markup-compatibility/2006">
    <mc:Choice Requires="x15">
      <x15ac:absPath xmlns:x15ac="http://schemas.microsoft.com/office/spreadsheetml/2010/11/ac" url="/Users/nathan/Personal Project/E-Commerce Delivery Performance &amp; Customer Experience Improvement/excel/"/>
    </mc:Choice>
  </mc:AlternateContent>
  <xr:revisionPtr revIDLastSave="0" documentId="11_23CAF87FC815820946D8743490B080145D78B78A" xr6:coauthVersionLast="47" xr6:coauthVersionMax="47" xr10:uidLastSave="{00000000-0000-0000-0000-000000000000}"/>
  <bookViews>
    <workbookView xWindow="0" yWindow="780" windowWidth="41120" windowHeight="23960" xr2:uid="{00000000-000D-0000-FFFF-FFFF00000000}"/>
  </bookViews>
  <sheets>
    <sheet name="KPI Summary" sheetId="1" r:id="rId1"/>
    <sheet name="Monthly Delivery" sheetId="2" r:id="rId2"/>
    <sheet name="Regional Performance" sheetId="3" r:id="rId3"/>
    <sheet name="Customer Satisfaction" sheetId="4" r:id="rId4"/>
    <sheet name="Data Diction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4" l="1"/>
  <c r="C22" i="4"/>
  <c r="D21" i="4"/>
  <c r="C21" i="4"/>
  <c r="F15" i="4"/>
  <c r="F14" i="4"/>
  <c r="F8" i="4"/>
  <c r="F7" i="4"/>
  <c r="G35" i="3"/>
  <c r="F35" i="3"/>
  <c r="E35" i="3"/>
  <c r="H35" i="3" s="1"/>
  <c r="D35" i="3"/>
  <c r="C35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L46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G31" i="2"/>
  <c r="F31" i="2"/>
  <c r="E31" i="2"/>
  <c r="H31" i="2" s="1"/>
  <c r="D31" i="2"/>
  <c r="C31" i="2"/>
  <c r="K30" i="2"/>
  <c r="K29" i="2"/>
  <c r="H29" i="2"/>
  <c r="K28" i="2"/>
  <c r="H28" i="2"/>
  <c r="K27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L31" i="2" s="1"/>
  <c r="H13" i="2"/>
  <c r="L30" i="2" s="1"/>
  <c r="H12" i="2"/>
  <c r="H11" i="2"/>
  <c r="H10" i="2"/>
  <c r="H9" i="2"/>
  <c r="H8" i="2"/>
  <c r="H7" i="2"/>
  <c r="C11" i="1"/>
  <c r="H10" i="1" s="1"/>
  <c r="J10" i="1" s="1"/>
  <c r="C10" i="1"/>
  <c r="H9" i="1"/>
  <c r="J9" i="1" s="1"/>
  <c r="C9" i="1"/>
  <c r="C8" i="1"/>
  <c r="H11" i="1" s="1"/>
  <c r="J11" i="1" s="1"/>
  <c r="C7" i="1"/>
  <c r="H7" i="1" s="1"/>
  <c r="J7" i="1" s="1"/>
  <c r="L45" i="2" l="1"/>
  <c r="I28" i="2"/>
  <c r="L44" i="2"/>
  <c r="I27" i="2"/>
  <c r="I26" i="2"/>
  <c r="L43" i="2"/>
  <c r="L42" i="2"/>
  <c r="I25" i="2"/>
  <c r="L41" i="2"/>
  <c r="I24" i="2"/>
  <c r="I23" i="2"/>
  <c r="L40" i="2"/>
  <c r="L39" i="2"/>
  <c r="I22" i="2"/>
  <c r="L38" i="2"/>
  <c r="I21" i="2"/>
  <c r="L37" i="2"/>
  <c r="I20" i="2"/>
  <c r="L36" i="2"/>
  <c r="L35" i="2"/>
  <c r="L34" i="2"/>
  <c r="L33" i="2"/>
  <c r="L32" i="2"/>
  <c r="L29" i="2"/>
  <c r="L28" i="2"/>
  <c r="L27" i="2"/>
  <c r="H8" i="1"/>
  <c r="J8" i="1" s="1"/>
  <c r="C12" i="1"/>
  <c r="C13" i="1"/>
  <c r="I7" i="2" l="1"/>
  <c r="I8" i="2"/>
  <c r="I9" i="2"/>
  <c r="M39" i="2"/>
  <c r="M46" i="2"/>
  <c r="I13" i="2"/>
  <c r="M32" i="2"/>
  <c r="M38" i="2"/>
  <c r="M45" i="2"/>
  <c r="L26" i="3"/>
  <c r="H12" i="1"/>
  <c r="J12" i="1" s="1"/>
  <c r="M30" i="2"/>
  <c r="M35" i="2"/>
  <c r="M41" i="2"/>
  <c r="M42" i="2"/>
  <c r="M44" i="2"/>
  <c r="M27" i="2"/>
  <c r="M28" i="2"/>
  <c r="I29" i="2"/>
  <c r="M31" i="2"/>
  <c r="M34" i="2"/>
  <c r="M36" i="2"/>
  <c r="M37" i="2"/>
  <c r="I14" i="2"/>
  <c r="M29" i="2"/>
  <c r="M33" i="2"/>
  <c r="M40" i="2"/>
  <c r="M43" i="2"/>
  <c r="I19" i="2"/>
  <c r="I18" i="2"/>
  <c r="I17" i="2"/>
  <c r="I16" i="2"/>
  <c r="I15" i="2"/>
  <c r="I12" i="2"/>
  <c r="I11" i="2"/>
  <c r="I10" i="2"/>
</calcChain>
</file>

<file path=xl/sharedStrings.xml><?xml version="1.0" encoding="utf-8"?>
<sst xmlns="http://schemas.openxmlformats.org/spreadsheetml/2006/main" count="220" uniqueCount="180">
  <si>
    <t>KPI Summary</t>
  </si>
  <si>
    <t>Historical Olist data. Rates use delivered orders with both delivery dates available.</t>
  </si>
  <si>
    <t>Reconciliation to SQL</t>
  </si>
  <si>
    <t>Metric</t>
  </si>
  <si>
    <t>Value</t>
  </si>
  <si>
    <t>Definition</t>
  </si>
  <si>
    <t>Excel</t>
  </si>
  <si>
    <t>SQL reference</t>
  </si>
  <si>
    <t>Difference</t>
  </si>
  <si>
    <t>Delivered orders</t>
  </si>
  <si>
    <t>All orders with delivered status.</t>
  </si>
  <si>
    <t>Unknown timeliness</t>
  </si>
  <si>
    <t>Delivered orders missing a delivery date.</t>
  </si>
  <si>
    <t>Eligible orders</t>
  </si>
  <si>
    <t>Eligible delivered orders</t>
  </si>
  <si>
    <t>Delivered orders with both delivery dates.</t>
  </si>
  <si>
    <t>Late orders</t>
  </si>
  <si>
    <t>Actual calendar date is after the estimate.</t>
  </si>
  <si>
    <t>On-time orders</t>
  </si>
  <si>
    <t>Actual date is on or before the estimate.</t>
  </si>
  <si>
    <t>Late-delivery rate</t>
  </si>
  <si>
    <t>Late orders divided by eligible orders.</t>
  </si>
  <si>
    <t>Late rate</t>
  </si>
  <si>
    <t>On-time delivery rate</t>
  </si>
  <si>
    <t>On-time orders divided by eligible orders.</t>
  </si>
  <si>
    <t>Average delivery days</t>
  </si>
  <si>
    <t>Elapsed purchase-to-receipt time, from SQL.</t>
  </si>
  <si>
    <t>Median delivery days</t>
  </si>
  <si>
    <t>Middle purchase-to-receipt duration, from SQL.</t>
  </si>
  <si>
    <t>Rates rounded to SQL precision.</t>
  </si>
  <si>
    <t>Differences should equal zero.</t>
  </si>
  <si>
    <t>Findings to investigate</t>
  </si>
  <si>
    <t>Monthly peak</t>
  </si>
  <si>
    <t>Mar 2018</t>
  </si>
  <si>
    <t>18.96% late among 7,003 eligible orders.</t>
  </si>
  <si>
    <t>Regional focus</t>
  </si>
  <si>
    <t>RJ and SP</t>
  </si>
  <si>
    <t>Together account for 50.73% of late orders.</t>
  </si>
  <si>
    <t>Review timing</t>
  </si>
  <si>
    <t>Both samples</t>
  </si>
  <si>
    <t>The rating gap is smaller after receipt.</t>
  </si>
  <si>
    <t>Findings describe the exported snapshot. They do not establish causes or achieved improvements.</t>
  </si>
  <si>
    <t>Monthly Delivery</t>
  </si>
  <si>
    <t>Counts imported from monthly_delivery_performance.csv. Rates and differences are Excel formulas.</t>
  </si>
  <si>
    <t>Purchase month</t>
  </si>
  <si>
    <t>Delivered</t>
  </si>
  <si>
    <t>Unknown dates</t>
  </si>
  <si>
    <t>Vs overall (pp)</t>
  </si>
  <si>
    <t>Overall rate</t>
  </si>
  <si>
    <t>Total</t>
  </si>
  <si>
    <t>2016 cohorts are sparse. The chart shows Jan 2017-Aug 2018; all cohorts remain in this table.</t>
  </si>
  <si>
    <t>Regional Performance</t>
  </si>
  <si>
    <t>Counts imported from regional_delivery_performance.csv. Destination codes refer to customers.</t>
  </si>
  <si>
    <t>Destination</t>
  </si>
  <si>
    <t>AL</t>
  </si>
  <si>
    <t>MA</t>
  </si>
  <si>
    <t>SE</t>
  </si>
  <si>
    <t>PI</t>
  </si>
  <si>
    <t>CE</t>
  </si>
  <si>
    <t>RR</t>
  </si>
  <si>
    <t>BA</t>
  </si>
  <si>
    <t>RJ</t>
  </si>
  <si>
    <t>PA</t>
  </si>
  <si>
    <t>ES</t>
  </si>
  <si>
    <t>PB</t>
  </si>
  <si>
    <t>TO</t>
  </si>
  <si>
    <t>MS</t>
  </si>
  <si>
    <t>PE</t>
  </si>
  <si>
    <t>RN</t>
  </si>
  <si>
    <t>SC</t>
  </si>
  <si>
    <t>GO</t>
  </si>
  <si>
    <t>RS</t>
  </si>
  <si>
    <t>MT</t>
  </si>
  <si>
    <t>DF</t>
  </si>
  <si>
    <t>MG</t>
  </si>
  <si>
    <t>SP</t>
  </si>
  <si>
    <t>Compare percentages with eligible counts and late-order volume.</t>
  </si>
  <si>
    <t>PR</t>
  </si>
  <si>
    <t>Small populations can produce unstable rankings.</t>
  </si>
  <si>
    <t>AC</t>
  </si>
  <si>
    <t>AP</t>
  </si>
  <si>
    <t>RO</t>
  </si>
  <si>
    <t>AM</t>
  </si>
  <si>
    <t>Customer Satisfaction</t>
  </si>
  <si>
    <t>Latest selected review per order. Low ratings are scores 1 or 2. Samples overlap.</t>
  </si>
  <si>
    <t>All latest reviews</t>
  </si>
  <si>
    <t>Timeliness</t>
  </si>
  <si>
    <t>Reviewed orders</t>
  </si>
  <si>
    <t>Mean rating</t>
  </si>
  <si>
    <t>Low ratings</t>
  </si>
  <si>
    <t>Low-rating rate</t>
  </si>
  <si>
    <t>On time</t>
  </si>
  <si>
    <t>Late</t>
  </si>
  <si>
    <t>Answered on/after delivery</t>
  </si>
  <si>
    <t>Chart data</t>
  </si>
  <si>
    <t>Review sample</t>
  </si>
  <si>
    <t>All latest</t>
  </si>
  <si>
    <t>On/after receipt</t>
  </si>
  <si>
    <t>The restricted sample excludes reviews answered before receipt, using exact timestamps.</t>
  </si>
  <si>
    <t>The difference is an association. Product, seller and other order characteristics are not controlled.</t>
  </si>
  <si>
    <t>Data Dictionary</t>
  </si>
  <si>
    <t>Dataset source</t>
  </si>
  <si>
    <t>https://www.kaggle.com/datasets/olistbr/brazilian-ecommerce</t>
  </si>
  <si>
    <t>Field or metric</t>
  </si>
  <si>
    <t>Meaning and calculation</t>
  </si>
  <si>
    <t>Source or ownership</t>
  </si>
  <si>
    <t>order_id</t>
  </si>
  <si>
    <t>Unique order identifier. One source row represents one order.</t>
  </si>
  <si>
    <t>olist_orders_dataset.csv</t>
  </si>
  <si>
    <t>customer_id</t>
  </si>
  <si>
    <t>Key used to add customer destination to an order.</t>
  </si>
  <si>
    <t>orders and customers CSV files</t>
  </si>
  <si>
    <t>order_status</t>
  </si>
  <si>
    <t>Delivery analysis includes only delivered orders.</t>
  </si>
  <si>
    <t>order_purchase_timestamp</t>
  </si>
  <si>
    <t>Purchase time; its month defines the monthly cohort.</t>
  </si>
  <si>
    <t>order_delivered_customer_date</t>
  </si>
  <si>
    <t>Recorded receipt timestamp. Missing values remain unknown.</t>
  </si>
  <si>
    <t>order_estimated_delivery_date</t>
  </si>
  <si>
    <t>Date used to classify calendar-date timeliness.</t>
  </si>
  <si>
    <t>customer_state</t>
  </si>
  <si>
    <t>Customer destination state or Federal District code.</t>
  </si>
  <si>
    <t>olist_customers_dataset.csv</t>
  </si>
  <si>
    <t>review_score</t>
  </si>
  <si>
    <t>Rating from 1 to 5. Scores 1-2 are defined here as low.</t>
  </si>
  <si>
    <t>olist_order_reviews_dataset.csv</t>
  </si>
  <si>
    <t>review_answer_timestamp</t>
  </si>
  <si>
    <t>Used for latest-review selection and review timing.</t>
  </si>
  <si>
    <t>Latest review</t>
  </si>
  <si>
    <t>Latest answer, then creation timestamp, then review ID. Ties are checked.</t>
  </si>
  <si>
    <t>08_review_data_quality.sql</t>
  </si>
  <si>
    <t>Delivered and eligible counts</t>
  </si>
  <si>
    <t>SQL counts are imported into each analysis sheet.</t>
  </si>
  <si>
    <t>delivery_summary and monthly exports</t>
  </si>
  <si>
    <t>Late and on-time counts</t>
  </si>
  <si>
    <t>Actual calendar date compared with estimated calendar date.</t>
  </si>
  <si>
    <t>SQL classification</t>
  </si>
  <si>
    <t>Delivered orders missing an actual or estimated date.</t>
  </si>
  <si>
    <t>Late orders / eligible delivered orders. Blank if denominator is zero.</t>
  </si>
  <si>
    <t>Excel formulas</t>
  </si>
  <si>
    <t>Total late orders / total eligible orders, not the mean monthly rate.</t>
  </si>
  <si>
    <t>KPI Summary formulas</t>
  </si>
  <si>
    <t>(Monthly rate - overall rate) x 100 percentage points.</t>
  </si>
  <si>
    <t>Monthly Delivery formulas</t>
  </si>
  <si>
    <t>Delivery duration</t>
  </si>
  <si>
    <t>Elapsed seconds from purchase to receipt / 86,400. Includes partial days.</t>
  </si>
  <si>
    <t>06_delivery_duration.sql</t>
  </si>
  <si>
    <t>Mean and median duration</t>
  </si>
  <si>
    <t>Calculated from measurable order-level durations, imported as SQL results.</t>
  </si>
  <si>
    <t>delivery_duration.csv</t>
  </si>
  <si>
    <t>Mean review scores</t>
  </si>
  <si>
    <t>SQL means for the selected sample. Rounded means are not re-averaged.</t>
  </si>
  <si>
    <t>customer_review_comparison.csv</t>
  </si>
  <si>
    <t>Selected reviews scoring 1-2 / reviewed orders in that group.</t>
  </si>
  <si>
    <t>Customer Satisfaction formulas</t>
  </si>
  <si>
    <t>On/after-receipt sample</t>
  </si>
  <si>
    <t>Answer timestamp is at or after receipt. Overlaps with the full sample.</t>
  </si>
  <si>
    <t>09_customer_review_comparison.sql</t>
  </si>
  <si>
    <t>No review</t>
  </si>
  <si>
    <t>Excluded from rating denominators; not replaced with zero.</t>
  </si>
  <si>
    <t>Review selection policy</t>
  </si>
  <si>
    <t>Workbook inputs</t>
  </si>
  <si>
    <t>Aggregate counts and means imported from validated CSV/JSON outputs.</t>
  </si>
  <si>
    <t>data/processed/</t>
  </si>
  <si>
    <t>Refresh and interpretation</t>
  </si>
  <si>
    <t>SQL inputs</t>
  </si>
  <si>
    <t>Counts and mean scores are a snapshot of validated pipeline outputs.</t>
  </si>
  <si>
    <t>Teal text identifies formulas. Rates and totals update when their inputs change.</t>
  </si>
  <si>
    <t>Refresh</t>
  </si>
  <si>
    <t>Run the pipeline, replace matching input counts and means, and check reconciliations.</t>
  </si>
  <si>
    <t>Chart links</t>
  </si>
  <si>
    <t>Native Excel charts reference cells. Helper ranges keep labels and series inspectable.</t>
  </si>
  <si>
    <t>Scope</t>
  </si>
  <si>
    <t>Historical Brazilian data. Associations do not establish causes.</t>
  </si>
  <si>
    <t>Review samples</t>
  </si>
  <si>
    <t>Samples overlap. Do not add counts across the two samples.</t>
  </si>
  <si>
    <t>Snapshot findings</t>
  </si>
  <si>
    <t>Summary findings are written for this snapshot and need review after refresh.</t>
  </si>
  <si>
    <t>PivotTables</t>
  </si>
  <si>
    <t>No PivotTables are included. The guide provides exercises for creating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</si>
</sst>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+0.00&quot; pp&quot;;\-0.00&quot; pp&quot;;0.00&quot; pp&quot;"/>
    <numFmt numFmtId="165" formatCode="mmm\ yyyy"/>
    <numFmt numFmtId="166" formatCode="0.0000%"/>
  </numFmts>
  <fonts count="8">
    <font>
      <sz val="11"/>
      <name val="Carlito"/>
    </font>
    <font>
      <sz val="11"/>
      <color rgb="FF18364D"/>
      <name val="Arial"/>
      <family val="2"/>
    </font>
    <font>
      <b/>
      <sz val="16"/>
      <color rgb="FF18364D"/>
      <name val="Arial"/>
      <family val="2"/>
    </font>
    <font>
      <sz val="11"/>
      <color rgb="FF607386"/>
      <name val="Arial"/>
      <family val="2"/>
    </font>
    <font>
      <sz val="11"/>
      <color rgb="FF087F8C"/>
      <name val="Arial"/>
      <family val="2"/>
    </font>
    <font>
      <b/>
      <sz val="11"/>
      <color rgb="FFFFFFFF"/>
      <name val="Arial"/>
      <family val="2"/>
    </font>
    <font>
      <b/>
      <sz val="11"/>
      <color rgb="FF18364D"/>
      <name val="Arial"/>
      <family val="2"/>
    </font>
    <font>
      <b/>
      <sz val="13"/>
      <color rgb="FF18364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836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horizontal="right" vertical="center"/>
    </xf>
    <xf numFmtId="10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10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  <xf numFmtId="10" fontId="1" fillId="0" borderId="0" xfId="0" applyNumberFormat="1" applyFont="1" applyAlignment="1">
      <alignment horizontal="right" vertical="center"/>
    </xf>
    <xf numFmtId="166" fontId="4" fillId="0" borderId="0" xfId="0" applyNumberFormat="1" applyFont="1" applyAlignment="1">
      <alignment horizontal="right" vertical="center"/>
    </xf>
    <xf numFmtId="2" fontId="4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2">
    <dxf>
      <font>
        <color rgb="FFBC542C"/>
      </font>
      <fill>
        <patternFill patternType="solid">
          <bgColor rgb="FFFFF0E8"/>
        </patternFill>
      </fill>
    </dxf>
    <dxf>
      <font>
        <b/>
        <color rgb="FFBC542C"/>
      </font>
      <fill>
        <patternFill patternType="solid">
          <bgColor rgb="FFFFF0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 sz="1200">
                <a:latin typeface="Arial"/>
                <a:ea typeface="Arial"/>
                <a:cs typeface="Arial"/>
              </a:rPr>
              <a:t>Late delivery by purchase month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Late rate</c:v>
          </c:tx>
          <c:spPr>
            <a:ln w="19050">
              <a:solidFill>
                <a:srgbClr val="087F8C"/>
              </a:solidFill>
              <a:prstDash val="solid"/>
            </a:ln>
          </c:spPr>
          <c:marker>
            <c:symbol val="none"/>
          </c:marker>
          <c:cat>
            <c:strRef>
              <c:f>'Monthly Delivery'!$K$27:$K$46</c:f>
              <c:strCache>
                <c:ptCount val="20"/>
                <c:pt idx="0">
                  <c:v>Jan 17</c:v>
                </c:pt>
                <c:pt idx="1">
                  <c:v>Feb 17</c:v>
                </c:pt>
                <c:pt idx="2">
                  <c:v>Mar 17</c:v>
                </c:pt>
                <c:pt idx="3">
                  <c:v>Apr 17</c:v>
                </c:pt>
                <c:pt idx="4">
                  <c:v>May 17</c:v>
                </c:pt>
                <c:pt idx="5">
                  <c:v>Jun 17</c:v>
                </c:pt>
                <c:pt idx="6">
                  <c:v>Jul 17</c:v>
                </c:pt>
                <c:pt idx="7">
                  <c:v>Aug 17</c:v>
                </c:pt>
                <c:pt idx="8">
                  <c:v>Sep 17</c:v>
                </c:pt>
                <c:pt idx="9">
                  <c:v>Oct 17</c:v>
                </c:pt>
                <c:pt idx="10">
                  <c:v>Nov 17</c:v>
                </c:pt>
                <c:pt idx="11">
                  <c:v>Dec 17</c:v>
                </c:pt>
                <c:pt idx="12">
                  <c:v>Jan 18</c:v>
                </c:pt>
                <c:pt idx="13">
                  <c:v>Feb 18</c:v>
                </c:pt>
                <c:pt idx="14">
                  <c:v>Mar 18</c:v>
                </c:pt>
                <c:pt idx="15">
                  <c:v>Apr 18</c:v>
                </c:pt>
                <c:pt idx="16">
                  <c:v>May 18</c:v>
                </c:pt>
                <c:pt idx="17">
                  <c:v>Jun 18</c:v>
                </c:pt>
                <c:pt idx="18">
                  <c:v>Jul 18</c:v>
                </c:pt>
                <c:pt idx="19">
                  <c:v>Aug 18</c:v>
                </c:pt>
              </c:strCache>
            </c:strRef>
          </c:cat>
          <c:val>
            <c:numRef>
              <c:f>'Monthly Delivery'!$L$27:$L$46</c:f>
              <c:numCache>
                <c:formatCode>0.00%</c:formatCode>
                <c:ptCount val="20"/>
                <c:pt idx="0">
                  <c:v>2.9333333333333333E-2</c:v>
                </c:pt>
                <c:pt idx="1">
                  <c:v>2.9643073200241985E-2</c:v>
                </c:pt>
                <c:pt idx="2">
                  <c:v>4.5561665357423412E-2</c:v>
                </c:pt>
                <c:pt idx="3">
                  <c:v>6.5566652192792008E-2</c:v>
                </c:pt>
                <c:pt idx="4">
                  <c:v>2.9901269393511988E-2</c:v>
                </c:pt>
                <c:pt idx="5">
                  <c:v>3.0303030303030304E-2</c:v>
                </c:pt>
                <c:pt idx="6">
                  <c:v>2.7892561983471075E-2</c:v>
                </c:pt>
                <c:pt idx="7">
                  <c:v>2.9096112568566659E-2</c:v>
                </c:pt>
                <c:pt idx="8">
                  <c:v>4.3855421686746991E-2</c:v>
                </c:pt>
                <c:pt idx="9">
                  <c:v>4.1759714158106295E-2</c:v>
                </c:pt>
                <c:pt idx="10">
                  <c:v>0.12403951701427003</c:v>
                </c:pt>
                <c:pt idx="11">
                  <c:v>7.4551061128242335E-2</c:v>
                </c:pt>
                <c:pt idx="12">
                  <c:v>5.7009478002546327E-2</c:v>
                </c:pt>
                <c:pt idx="13">
                  <c:v>0.14126620900076278</c:v>
                </c:pt>
                <c:pt idx="14">
                  <c:v>0.18963301442239042</c:v>
                </c:pt>
                <c:pt idx="15">
                  <c:v>4.5013239187996469E-2</c:v>
                </c:pt>
                <c:pt idx="16">
                  <c:v>6.5639353978367163E-2</c:v>
                </c:pt>
                <c:pt idx="17">
                  <c:v>1.1646981627296589E-2</c:v>
                </c:pt>
                <c:pt idx="18">
                  <c:v>3.378817413905133E-2</c:v>
                </c:pt>
                <c:pt idx="19">
                  <c:v>6.1880018894662256E-2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A0-B84A-A0CF-C42E66E6D2BF}"/>
            </c:ext>
          </c:extLst>
        </c:ser>
        <c:ser>
          <c:idx val="1"/>
          <c:order val="1"/>
          <c:tx>
            <c:v>Overall rate</c:v>
          </c:tx>
          <c:spPr>
            <a:ln w="14288">
              <a:solidFill>
                <a:srgbClr val="607386"/>
              </a:solidFill>
              <a:prstDash val="dash"/>
            </a:ln>
          </c:spPr>
          <c:marker>
            <c:symbol val="none"/>
          </c:marker>
          <c:cat>
            <c:strRef>
              <c:f>'Monthly Delivery'!$K$27:$K$46</c:f>
              <c:strCache>
                <c:ptCount val="20"/>
                <c:pt idx="0">
                  <c:v>Jan 17</c:v>
                </c:pt>
                <c:pt idx="1">
                  <c:v>Feb 17</c:v>
                </c:pt>
                <c:pt idx="2">
                  <c:v>Mar 17</c:v>
                </c:pt>
                <c:pt idx="3">
                  <c:v>Apr 17</c:v>
                </c:pt>
                <c:pt idx="4">
                  <c:v>May 17</c:v>
                </c:pt>
                <c:pt idx="5">
                  <c:v>Jun 17</c:v>
                </c:pt>
                <c:pt idx="6">
                  <c:v>Jul 17</c:v>
                </c:pt>
                <c:pt idx="7">
                  <c:v>Aug 17</c:v>
                </c:pt>
                <c:pt idx="8">
                  <c:v>Sep 17</c:v>
                </c:pt>
                <c:pt idx="9">
                  <c:v>Oct 17</c:v>
                </c:pt>
                <c:pt idx="10">
                  <c:v>Nov 17</c:v>
                </c:pt>
                <c:pt idx="11">
                  <c:v>Dec 17</c:v>
                </c:pt>
                <c:pt idx="12">
                  <c:v>Jan 18</c:v>
                </c:pt>
                <c:pt idx="13">
                  <c:v>Feb 18</c:v>
                </c:pt>
                <c:pt idx="14">
                  <c:v>Mar 18</c:v>
                </c:pt>
                <c:pt idx="15">
                  <c:v>Apr 18</c:v>
                </c:pt>
                <c:pt idx="16">
                  <c:v>May 18</c:v>
                </c:pt>
                <c:pt idx="17">
                  <c:v>Jun 18</c:v>
                </c:pt>
                <c:pt idx="18">
                  <c:v>Jul 18</c:v>
                </c:pt>
                <c:pt idx="19">
                  <c:v>Aug 18</c:v>
                </c:pt>
              </c:strCache>
            </c:strRef>
          </c:cat>
          <c:val>
            <c:numRef>
              <c:f>'Monthly Delivery'!$M$27:$M$46</c:f>
              <c:numCache>
                <c:formatCode>0.00%</c:formatCode>
                <c:ptCount val="20"/>
                <c:pt idx="0">
                  <c:v>6.7730900798175592E-2</c:v>
                </c:pt>
                <c:pt idx="1">
                  <c:v>6.7730900798175592E-2</c:v>
                </c:pt>
                <c:pt idx="2">
                  <c:v>6.7730900798175592E-2</c:v>
                </c:pt>
                <c:pt idx="3">
                  <c:v>6.7730900798175592E-2</c:v>
                </c:pt>
                <c:pt idx="4">
                  <c:v>6.7730900798175592E-2</c:v>
                </c:pt>
                <c:pt idx="5">
                  <c:v>6.7730900798175592E-2</c:v>
                </c:pt>
                <c:pt idx="6">
                  <c:v>6.7730900798175592E-2</c:v>
                </c:pt>
                <c:pt idx="7">
                  <c:v>6.7730900798175592E-2</c:v>
                </c:pt>
                <c:pt idx="8">
                  <c:v>6.7730900798175592E-2</c:v>
                </c:pt>
                <c:pt idx="9">
                  <c:v>6.7730900798175592E-2</c:v>
                </c:pt>
                <c:pt idx="10">
                  <c:v>6.7730900798175592E-2</c:v>
                </c:pt>
                <c:pt idx="11">
                  <c:v>6.7730900798175592E-2</c:v>
                </c:pt>
                <c:pt idx="12">
                  <c:v>6.7730900798175592E-2</c:v>
                </c:pt>
                <c:pt idx="13">
                  <c:v>6.7730900798175592E-2</c:v>
                </c:pt>
                <c:pt idx="14">
                  <c:v>6.7730900798175592E-2</c:v>
                </c:pt>
                <c:pt idx="15">
                  <c:v>6.7730900798175592E-2</c:v>
                </c:pt>
                <c:pt idx="16">
                  <c:v>6.7730900798175592E-2</c:v>
                </c:pt>
                <c:pt idx="17">
                  <c:v>6.7730900798175592E-2</c:v>
                </c:pt>
                <c:pt idx="18">
                  <c:v>6.7730900798175592E-2</c:v>
                </c:pt>
                <c:pt idx="19">
                  <c:v>6.7730900798175592E-2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A0-B84A-A0CF-C42E66E6D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 sz="1200">
                <a:latin typeface="Arial"/>
                <a:ea typeface="Arial"/>
                <a:cs typeface="Arial"/>
              </a:rPr>
              <a:t>Highest destination late rates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Late rate</c:v>
          </c:tx>
          <c:spPr>
            <a:solidFill>
              <a:srgbClr val="087F8C"/>
            </a:solidFill>
          </c:spPr>
          <c:invertIfNegative val="0"/>
          <c:cat>
            <c:strRef>
              <c:f>'Regional Performance'!$B$7:$B$16</c:f>
              <c:strCache>
                <c:ptCount val="10"/>
                <c:pt idx="0">
                  <c:v>AL</c:v>
                </c:pt>
                <c:pt idx="1">
                  <c:v>MA</c:v>
                </c:pt>
                <c:pt idx="2">
                  <c:v>SE</c:v>
                </c:pt>
                <c:pt idx="3">
                  <c:v>PI</c:v>
                </c:pt>
                <c:pt idx="4">
                  <c:v>CE</c:v>
                </c:pt>
                <c:pt idx="5">
                  <c:v>RR</c:v>
                </c:pt>
                <c:pt idx="6">
                  <c:v>BA</c:v>
                </c:pt>
                <c:pt idx="7">
                  <c:v>RJ</c:v>
                </c:pt>
                <c:pt idx="8">
                  <c:v>PA</c:v>
                </c:pt>
                <c:pt idx="9">
                  <c:v>ES</c:v>
                </c:pt>
              </c:strCache>
            </c:strRef>
          </c:cat>
          <c:val>
            <c:numRef>
              <c:f>'Regional Performance'!$H$7:$H$16</c:f>
              <c:numCache>
                <c:formatCode>0.00%</c:formatCode>
                <c:ptCount val="10"/>
                <c:pt idx="0">
                  <c:v>0.2141057934508816</c:v>
                </c:pt>
                <c:pt idx="1">
                  <c:v>0.17433751743375175</c:v>
                </c:pt>
                <c:pt idx="2">
                  <c:v>0.15223880597014924</c:v>
                </c:pt>
                <c:pt idx="3">
                  <c:v>0.13865546218487396</c:v>
                </c:pt>
                <c:pt idx="4">
                  <c:v>0.1376075058639562</c:v>
                </c:pt>
                <c:pt idx="5">
                  <c:v>0.12195121951219512</c:v>
                </c:pt>
                <c:pt idx="6">
                  <c:v>0.12162162162162163</c:v>
                </c:pt>
                <c:pt idx="7">
                  <c:v>0.12105263157894737</c:v>
                </c:pt>
                <c:pt idx="8">
                  <c:v>0.11205073995771671</c:v>
                </c:pt>
                <c:pt idx="9">
                  <c:v>0.10726817042606517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27-6146-BBA5-89AF77672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 sz="1200">
                <a:latin typeface="Arial"/>
                <a:ea typeface="Arial"/>
                <a:cs typeface="Arial"/>
              </a:rPr>
              <a:t>Mean rating by review sample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On time</c:v>
          </c:tx>
          <c:spPr>
            <a:solidFill>
              <a:srgbClr val="087F8C"/>
            </a:solidFill>
          </c:spPr>
          <c:invertIfNegative val="0"/>
          <c:cat>
            <c:strRef>
              <c:f>'Customer Satisfaction'!$B$21:$B$22</c:f>
              <c:strCache>
                <c:ptCount val="2"/>
                <c:pt idx="0">
                  <c:v>All latest</c:v>
                </c:pt>
                <c:pt idx="1">
                  <c:v>On/after receipt</c:v>
                </c:pt>
              </c:strCache>
            </c:strRef>
          </c:cat>
          <c:val>
            <c:numRef>
              <c:f>'Customer Satisfaction'!$C$21:$C$22</c:f>
              <c:numCache>
                <c:formatCode>0.00</c:formatCode>
                <c:ptCount val="2"/>
                <c:pt idx="0">
                  <c:v>4.29</c:v>
                </c:pt>
                <c:pt idx="1">
                  <c:v>4.29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7-9A49-978B-6E9F27F503B5}"/>
            </c:ext>
          </c:extLst>
        </c:ser>
        <c:ser>
          <c:idx val="1"/>
          <c:order val="1"/>
          <c:tx>
            <c:v>Late</c:v>
          </c:tx>
          <c:spPr>
            <a:solidFill>
              <a:srgbClr val="BC542C"/>
            </a:solidFill>
          </c:spPr>
          <c:invertIfNegative val="0"/>
          <c:cat>
            <c:strRef>
              <c:f>'Customer Satisfaction'!$B$21:$B$22</c:f>
              <c:strCache>
                <c:ptCount val="2"/>
                <c:pt idx="0">
                  <c:v>All latest</c:v>
                </c:pt>
                <c:pt idx="1">
                  <c:v>On/after receipt</c:v>
                </c:pt>
              </c:strCache>
            </c:strRef>
          </c:cat>
          <c:val>
            <c:numRef>
              <c:f>'Customer Satisfaction'!$D$21:$D$22</c:f>
              <c:numCache>
                <c:formatCode>0.00</c:formatCode>
                <c:ptCount val="2"/>
                <c:pt idx="0">
                  <c:v>2.27</c:v>
                </c:pt>
                <c:pt idx="1">
                  <c:v>3.72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E7-9A49-978B-6E9F27F50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7</xdr:row>
      <xdr:rowOff>0</xdr:rowOff>
    </xdr:from>
    <xdr:to>
      <xdr:col>19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7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18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nthlyDelivery" displayName="MonthlyDelivery" ref="B6:I29" totalsRowShown="0">
  <autoFilter ref="B6:I29" xr:uid="{00000000-0009-0000-0100-000001000000}"/>
  <tableColumns count="8">
    <tableColumn id="1" xr3:uid="{00000000-0010-0000-0000-000001000000}" name="Purchase month"/>
    <tableColumn id="2" xr3:uid="{00000000-0010-0000-0000-000002000000}" name="Delivered"/>
    <tableColumn id="3" xr3:uid="{00000000-0010-0000-0000-000003000000}" name="Unknown dates"/>
    <tableColumn id="4" xr3:uid="{00000000-0010-0000-0000-000004000000}" name="Eligible orders"/>
    <tableColumn id="5" xr3:uid="{00000000-0010-0000-0000-000005000000}" name="Late orders"/>
    <tableColumn id="6" xr3:uid="{00000000-0010-0000-0000-000006000000}" name="On-time orders"/>
    <tableColumn id="7" xr3:uid="{00000000-0010-0000-0000-000007000000}" name="Late rate"/>
    <tableColumn id="8" xr3:uid="{00000000-0010-0000-0000-000008000000}" name="Vs overall (pp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gionalPerformance" displayName="RegionalPerformance" ref="B6:H33" totalsRowShown="0">
  <autoFilter ref="B6:H33" xr:uid="{00000000-0009-0000-0100-000002000000}"/>
  <tableColumns count="7">
    <tableColumn id="1" xr3:uid="{00000000-0010-0000-0100-000001000000}" name="Destination"/>
    <tableColumn id="2" xr3:uid="{00000000-0010-0000-0100-000002000000}" name="Delivered"/>
    <tableColumn id="3" xr3:uid="{00000000-0010-0000-0100-000003000000}" name="Unknown dates"/>
    <tableColumn id="4" xr3:uid="{00000000-0010-0000-0100-000004000000}" name="Eligible orders"/>
    <tableColumn id="5" xr3:uid="{00000000-0010-0000-0100-000005000000}" name="Late orders"/>
    <tableColumn id="6" xr3:uid="{00000000-0010-0000-0100-000006000000}" name="On-time orders"/>
    <tableColumn id="7" xr3:uid="{00000000-0010-0000-0100-000007000000}" name="Late r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llSelectedReviews" displayName="AllSelectedReviews" ref="B6:F8" totalsRowShown="0">
  <autoFilter ref="B6:F8" xr:uid="{00000000-0009-0000-0100-000003000000}"/>
  <tableColumns count="5">
    <tableColumn id="1" xr3:uid="{00000000-0010-0000-0200-000001000000}" name="Timeliness"/>
    <tableColumn id="2" xr3:uid="{00000000-0010-0000-0200-000002000000}" name="Reviewed orders"/>
    <tableColumn id="3" xr3:uid="{00000000-0010-0000-0200-000003000000}" name="Mean rating"/>
    <tableColumn id="4" xr3:uid="{00000000-0010-0000-0200-000004000000}" name="Low ratings"/>
    <tableColumn id="5" xr3:uid="{00000000-0010-0000-0200-000005000000}" name="Low-rating r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viewsAfterReceipt" displayName="ReviewsAfterReceipt" ref="B13:F15" totalsRowShown="0">
  <autoFilter ref="B13:F15" xr:uid="{00000000-0009-0000-0100-000004000000}"/>
  <tableColumns count="5">
    <tableColumn id="1" xr3:uid="{00000000-0010-0000-0300-000001000000}" name="Timeliness"/>
    <tableColumn id="2" xr3:uid="{00000000-0010-0000-0300-000002000000}" name="Reviewed orders"/>
    <tableColumn id="3" xr3:uid="{00000000-0010-0000-0300-000003000000}" name="Mean rating"/>
    <tableColumn id="4" xr3:uid="{00000000-0010-0000-0300-000004000000}" name="Low ratings"/>
    <tableColumn id="5" xr3:uid="{00000000-0010-0000-0300-000005000000}" name="Low-rating r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ataDictionary" displayName="DataDictionary" ref="B6:D29" totalsRowShown="0">
  <autoFilter ref="B6:D29" xr:uid="{00000000-0009-0000-0100-000005000000}"/>
  <tableColumns count="3">
    <tableColumn id="1" xr3:uid="{00000000-0010-0000-0400-000001000000}" name="Field or metric"/>
    <tableColumn id="2" xr3:uid="{00000000-0010-0000-0400-000002000000}" name="Meaning and calculation"/>
    <tableColumn id="3" xr3:uid="{00000000-0010-0000-0400-000003000000}" name="Source or ownershi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364D"/>
  </sheetPr>
  <dimension ref="A1:N32"/>
  <sheetViews>
    <sheetView showGridLines="0" tabSelected="1" workbookViewId="0"/>
  </sheetViews>
  <sheetFormatPr baseColWidth="10" defaultColWidth="8.83203125" defaultRowHeight="14"/>
  <cols>
    <col min="1" max="1" width="3" customWidth="1"/>
    <col min="2" max="2" width="31" customWidth="1"/>
    <col min="3" max="3" width="18" customWidth="1"/>
    <col min="4" max="4" width="3" customWidth="1"/>
    <col min="5" max="5" width="52" customWidth="1"/>
    <col min="6" max="6" width="3" customWidth="1"/>
    <col min="7" max="7" width="27" customWidth="1"/>
    <col min="8" max="10" width="15" customWidth="1"/>
    <col min="11" max="14" width="11" customWidth="1"/>
  </cols>
  <sheetData>
    <row r="1" spans="1:14" ht="2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0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3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3" customHeight="1">
      <c r="A4" s="1"/>
      <c r="B4" s="3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3" customHeight="1">
      <c r="A5" s="1"/>
      <c r="B5" s="1"/>
      <c r="C5" s="1"/>
      <c r="D5" s="1"/>
      <c r="E5" s="1"/>
      <c r="F5" s="1"/>
      <c r="G5" s="9" t="s">
        <v>2</v>
      </c>
      <c r="H5" s="1"/>
      <c r="I5" s="1"/>
      <c r="J5" s="1"/>
      <c r="K5" s="1"/>
      <c r="L5" s="1"/>
      <c r="M5" s="1"/>
      <c r="N5" s="1"/>
    </row>
    <row r="6" spans="1:14" ht="36" customHeight="1">
      <c r="A6" s="1"/>
      <c r="B6" s="7" t="s">
        <v>3</v>
      </c>
      <c r="C6" s="7" t="s">
        <v>4</v>
      </c>
      <c r="D6" s="1"/>
      <c r="E6" s="7" t="s">
        <v>5</v>
      </c>
      <c r="F6" s="1"/>
      <c r="G6" s="7" t="s">
        <v>3</v>
      </c>
      <c r="H6" s="7" t="s">
        <v>6</v>
      </c>
      <c r="I6" s="7" t="s">
        <v>7</v>
      </c>
      <c r="J6" s="7" t="s">
        <v>8</v>
      </c>
      <c r="K6" s="1"/>
      <c r="L6" s="1"/>
      <c r="M6" s="1"/>
      <c r="N6" s="1"/>
    </row>
    <row r="7" spans="1:14" ht="23" customHeight="1">
      <c r="A7" s="1"/>
      <c r="B7" s="1" t="s">
        <v>9</v>
      </c>
      <c r="C7" s="18">
        <f>SUM('Monthly Delivery'!C7:C29)</f>
        <v>96478</v>
      </c>
      <c r="D7" s="1"/>
      <c r="E7" s="1" t="s">
        <v>10</v>
      </c>
      <c r="F7" s="1"/>
      <c r="G7" s="1" t="s">
        <v>9</v>
      </c>
      <c r="H7" s="18">
        <f>C7</f>
        <v>96478</v>
      </c>
      <c r="I7" s="11">
        <v>96478</v>
      </c>
      <c r="J7" s="18">
        <f t="shared" ref="J7:J12" si="0">H7-I7</f>
        <v>0</v>
      </c>
      <c r="K7" s="1"/>
      <c r="L7" s="1"/>
      <c r="M7" s="1"/>
      <c r="N7" s="1"/>
    </row>
    <row r="8" spans="1:14" ht="23" customHeight="1">
      <c r="A8" s="1"/>
      <c r="B8" s="1" t="s">
        <v>11</v>
      </c>
      <c r="C8" s="18">
        <f>SUM('Monthly Delivery'!D7:D29)</f>
        <v>8</v>
      </c>
      <c r="D8" s="1"/>
      <c r="E8" s="1" t="s">
        <v>12</v>
      </c>
      <c r="F8" s="1"/>
      <c r="G8" s="1" t="s">
        <v>13</v>
      </c>
      <c r="H8" s="18">
        <f>C9</f>
        <v>96470</v>
      </c>
      <c r="I8" s="11">
        <v>96470</v>
      </c>
      <c r="J8" s="18">
        <f t="shared" si="0"/>
        <v>0</v>
      </c>
      <c r="K8" s="1"/>
      <c r="L8" s="1"/>
      <c r="M8" s="1"/>
      <c r="N8" s="1"/>
    </row>
    <row r="9" spans="1:14" ht="23" customHeight="1">
      <c r="A9" s="1"/>
      <c r="B9" s="1" t="s">
        <v>14</v>
      </c>
      <c r="C9" s="18">
        <f>SUM('Monthly Delivery'!E7:E29)</f>
        <v>96470</v>
      </c>
      <c r="D9" s="1"/>
      <c r="E9" s="1" t="s">
        <v>15</v>
      </c>
      <c r="F9" s="1"/>
      <c r="G9" s="1" t="s">
        <v>16</v>
      </c>
      <c r="H9" s="18">
        <f>C10</f>
        <v>6534</v>
      </c>
      <c r="I9" s="11">
        <v>6534</v>
      </c>
      <c r="J9" s="18">
        <f t="shared" si="0"/>
        <v>0</v>
      </c>
      <c r="K9" s="1"/>
      <c r="L9" s="1"/>
      <c r="M9" s="1"/>
      <c r="N9" s="1"/>
    </row>
    <row r="10" spans="1:14" ht="23" customHeight="1">
      <c r="A10" s="1"/>
      <c r="B10" s="1" t="s">
        <v>16</v>
      </c>
      <c r="C10" s="18">
        <f>SUM('Monthly Delivery'!F7:F29)</f>
        <v>6534</v>
      </c>
      <c r="D10" s="1"/>
      <c r="E10" s="1" t="s">
        <v>17</v>
      </c>
      <c r="F10" s="1"/>
      <c r="G10" s="1" t="s">
        <v>18</v>
      </c>
      <c r="H10" s="18">
        <f>C11</f>
        <v>89936</v>
      </c>
      <c r="I10" s="11">
        <v>89936</v>
      </c>
      <c r="J10" s="18">
        <f t="shared" si="0"/>
        <v>0</v>
      </c>
      <c r="K10" s="1"/>
      <c r="L10" s="1"/>
      <c r="M10" s="1"/>
      <c r="N10" s="1"/>
    </row>
    <row r="11" spans="1:14" ht="23" customHeight="1">
      <c r="A11" s="1"/>
      <c r="B11" s="1" t="s">
        <v>18</v>
      </c>
      <c r="C11" s="18">
        <f>SUM('Monthly Delivery'!G7:G29)</f>
        <v>89936</v>
      </c>
      <c r="D11" s="1"/>
      <c r="E11" s="1" t="s">
        <v>19</v>
      </c>
      <c r="F11" s="1"/>
      <c r="G11" s="1" t="s">
        <v>11</v>
      </c>
      <c r="H11" s="18">
        <f>C8</f>
        <v>8</v>
      </c>
      <c r="I11" s="11">
        <v>8</v>
      </c>
      <c r="J11" s="18">
        <f t="shared" si="0"/>
        <v>0</v>
      </c>
      <c r="K11" s="1"/>
      <c r="L11" s="1"/>
      <c r="M11" s="1"/>
      <c r="N11" s="1"/>
    </row>
    <row r="12" spans="1:14" ht="23" customHeight="1">
      <c r="A12" s="1"/>
      <c r="B12" s="1" t="s">
        <v>20</v>
      </c>
      <c r="C12" s="12">
        <f>IF(C9=0,"",C10/C9)</f>
        <v>6.7730900798175592E-2</v>
      </c>
      <c r="D12" s="1"/>
      <c r="E12" s="1" t="s">
        <v>21</v>
      </c>
      <c r="F12" s="1"/>
      <c r="G12" s="1" t="s">
        <v>22</v>
      </c>
      <c r="H12" s="12">
        <f>ROUND(C12*100,2)/100</f>
        <v>6.7699999999999996E-2</v>
      </c>
      <c r="I12" s="20">
        <v>6.7699999999999996E-2</v>
      </c>
      <c r="J12" s="21">
        <f t="shared" si="0"/>
        <v>0</v>
      </c>
      <c r="K12" s="1"/>
      <c r="L12" s="1"/>
      <c r="M12" s="1"/>
      <c r="N12" s="1"/>
    </row>
    <row r="13" spans="1:14" ht="23" customHeight="1">
      <c r="A13" s="1"/>
      <c r="B13" s="1" t="s">
        <v>23</v>
      </c>
      <c r="C13" s="12">
        <f>IF(C9=0,"",C11/C9)</f>
        <v>0.93226909920182444</v>
      </c>
      <c r="D13" s="1"/>
      <c r="E13" s="1" t="s">
        <v>24</v>
      </c>
      <c r="F13" s="1"/>
      <c r="G13" s="1"/>
      <c r="H13" s="1"/>
      <c r="I13" s="1"/>
      <c r="J13" s="1"/>
      <c r="K13" s="1"/>
      <c r="L13" s="1"/>
      <c r="M13" s="1"/>
      <c r="N13" s="1"/>
    </row>
    <row r="14" spans="1:14" ht="23" customHeight="1">
      <c r="A14" s="1"/>
      <c r="B14" s="1" t="s">
        <v>25</v>
      </c>
      <c r="C14" s="19">
        <v>12.56</v>
      </c>
      <c r="D14" s="1"/>
      <c r="E14" s="1" t="s">
        <v>26</v>
      </c>
      <c r="F14" s="1"/>
      <c r="G14" s="1"/>
      <c r="H14" s="1"/>
      <c r="I14" s="1"/>
      <c r="J14" s="1"/>
      <c r="K14" s="1"/>
      <c r="L14" s="1"/>
      <c r="M14" s="1"/>
      <c r="N14" s="1"/>
    </row>
    <row r="15" spans="1:14" ht="23" customHeight="1">
      <c r="A15" s="1"/>
      <c r="B15" s="1" t="s">
        <v>27</v>
      </c>
      <c r="C15" s="19">
        <v>10.220000000000001</v>
      </c>
      <c r="D15" s="1"/>
      <c r="E15" s="1" t="s">
        <v>28</v>
      </c>
      <c r="F15" s="1"/>
      <c r="G15" s="3" t="s">
        <v>29</v>
      </c>
      <c r="H15" s="1"/>
      <c r="I15" s="1"/>
      <c r="J15" s="1"/>
      <c r="K15" s="1"/>
      <c r="L15" s="1"/>
      <c r="M15" s="1"/>
      <c r="N15" s="1"/>
    </row>
    <row r="16" spans="1:14" ht="23" customHeight="1">
      <c r="A16" s="1"/>
      <c r="B16" s="1"/>
      <c r="C16" s="1"/>
      <c r="D16" s="1"/>
      <c r="E16" s="1"/>
      <c r="F16" s="1"/>
      <c r="G16" s="3" t="s">
        <v>30</v>
      </c>
      <c r="H16" s="1"/>
      <c r="I16" s="1"/>
      <c r="J16" s="1"/>
      <c r="K16" s="1"/>
      <c r="L16" s="1"/>
      <c r="M16" s="1"/>
      <c r="N16" s="1"/>
    </row>
    <row r="17" spans="1:14" ht="23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23" customHeight="1">
      <c r="A18" s="1"/>
      <c r="B18" s="9" t="s">
        <v>31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23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23" customHeight="1">
      <c r="A20" s="1"/>
      <c r="B20" s="1" t="s">
        <v>32</v>
      </c>
      <c r="C20" s="1" t="s">
        <v>33</v>
      </c>
      <c r="D20" s="1"/>
      <c r="E20" s="1" t="s">
        <v>34</v>
      </c>
      <c r="F20" s="1"/>
      <c r="G20" s="1"/>
      <c r="H20" s="1"/>
      <c r="I20" s="1"/>
      <c r="J20" s="1"/>
      <c r="K20" s="1"/>
      <c r="L20" s="1"/>
      <c r="M20" s="1"/>
      <c r="N20" s="1"/>
    </row>
    <row r="21" spans="1:14" ht="23" customHeight="1">
      <c r="A21" s="1"/>
      <c r="B21" s="1" t="s">
        <v>35</v>
      </c>
      <c r="C21" s="1" t="s">
        <v>36</v>
      </c>
      <c r="D21" s="1"/>
      <c r="E21" s="1" t="s">
        <v>37</v>
      </c>
      <c r="F21" s="1"/>
      <c r="G21" s="1"/>
      <c r="H21" s="1"/>
      <c r="I21" s="1"/>
      <c r="J21" s="1"/>
      <c r="K21" s="1"/>
      <c r="L21" s="1"/>
      <c r="M21" s="1"/>
      <c r="N21" s="1"/>
    </row>
    <row r="22" spans="1:14" ht="23" customHeight="1">
      <c r="A22" s="1"/>
      <c r="B22" s="1" t="s">
        <v>38</v>
      </c>
      <c r="C22" s="1" t="s">
        <v>39</v>
      </c>
      <c r="D22" s="1"/>
      <c r="E22" s="1" t="s">
        <v>40</v>
      </c>
      <c r="F22" s="1"/>
      <c r="G22" s="1"/>
      <c r="H22" s="1"/>
      <c r="I22" s="1"/>
      <c r="J22" s="1"/>
      <c r="K22" s="1"/>
      <c r="L22" s="1"/>
      <c r="M22" s="1"/>
      <c r="N22" s="1"/>
    </row>
    <row r="23" spans="1:14" ht="23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23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23" customHeight="1">
      <c r="A25" s="1"/>
      <c r="B25" s="3" t="s">
        <v>41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23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23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23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23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23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23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23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</sheetData>
  <conditionalFormatting sqref="J7:J12">
    <cfRule type="cellIs" dxfId="1" priority="1" operator="not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8"/>
  <sheetViews>
    <sheetView showGridLines="0" workbookViewId="0">
      <pane ySplit="6" topLeftCell="A7" activePane="bottomLeft" state="frozen"/>
      <selection pane="bottomLeft"/>
    </sheetView>
  </sheetViews>
  <sheetFormatPr baseColWidth="10" defaultColWidth="8.83203125" defaultRowHeight="14"/>
  <cols>
    <col min="1" max="1" width="3" customWidth="1"/>
    <col min="2" max="2" width="19" customWidth="1"/>
    <col min="3" max="7" width="15" customWidth="1"/>
    <col min="8" max="9" width="18" customWidth="1"/>
    <col min="10" max="10" width="3" customWidth="1"/>
    <col min="11" max="19" width="11" customWidth="1"/>
  </cols>
  <sheetData>
    <row r="1" spans="1:19" ht="2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30" customHeight="1">
      <c r="A2" s="1"/>
      <c r="B2" s="2" t="s">
        <v>42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23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23" customHeight="1">
      <c r="A4" s="1"/>
      <c r="B4" s="3" t="s">
        <v>43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23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36" customHeight="1">
      <c r="A6" s="1"/>
      <c r="B6" s="7" t="s">
        <v>44</v>
      </c>
      <c r="C6" s="7" t="s">
        <v>45</v>
      </c>
      <c r="D6" s="7" t="s">
        <v>46</v>
      </c>
      <c r="E6" s="7" t="s">
        <v>13</v>
      </c>
      <c r="F6" s="7" t="s">
        <v>16</v>
      </c>
      <c r="G6" s="7" t="s">
        <v>18</v>
      </c>
      <c r="H6" s="7" t="s">
        <v>22</v>
      </c>
      <c r="I6" s="7" t="s">
        <v>47</v>
      </c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23" customHeight="1">
      <c r="A7" s="1"/>
      <c r="B7" s="6">
        <v>42614</v>
      </c>
      <c r="C7" s="11">
        <v>1</v>
      </c>
      <c r="D7" s="11">
        <v>0</v>
      </c>
      <c r="E7" s="11">
        <v>1</v>
      </c>
      <c r="F7" s="11">
        <v>1</v>
      </c>
      <c r="G7" s="11">
        <v>0</v>
      </c>
      <c r="H7" s="12">
        <f t="shared" ref="H7:H29" si="0">IF(E7=0,"",F7/E7)</f>
        <v>1</v>
      </c>
      <c r="I7" s="13">
        <f>IF(E7=0,"",(H7-'KPI Summary'!$C$12)*100)</f>
        <v>93.22690992018245</v>
      </c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23" customHeight="1">
      <c r="A8" s="1"/>
      <c r="B8" s="6">
        <v>42644</v>
      </c>
      <c r="C8" s="11">
        <v>265</v>
      </c>
      <c r="D8" s="11">
        <v>0</v>
      </c>
      <c r="E8" s="11">
        <v>265</v>
      </c>
      <c r="F8" s="11">
        <v>2</v>
      </c>
      <c r="G8" s="11">
        <v>263</v>
      </c>
      <c r="H8" s="12">
        <f t="shared" si="0"/>
        <v>7.5471698113207548E-3</v>
      </c>
      <c r="I8" s="13">
        <f>IF(E8=0,"",(H8-'KPI Summary'!$C$12)*100)</f>
        <v>-6.0183730986854842</v>
      </c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23" customHeight="1">
      <c r="A9" s="1"/>
      <c r="B9" s="6">
        <v>42705</v>
      </c>
      <c r="C9" s="11">
        <v>1</v>
      </c>
      <c r="D9" s="11">
        <v>0</v>
      </c>
      <c r="E9" s="11">
        <v>1</v>
      </c>
      <c r="F9" s="11">
        <v>0</v>
      </c>
      <c r="G9" s="11">
        <v>1</v>
      </c>
      <c r="H9" s="12">
        <f t="shared" si="0"/>
        <v>0</v>
      </c>
      <c r="I9" s="13">
        <f>IF(E9=0,"",(H9-'KPI Summary'!$C$12)*100)</f>
        <v>-6.7730900798175595</v>
      </c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23" customHeight="1">
      <c r="A10" s="1"/>
      <c r="B10" s="6">
        <v>42736</v>
      </c>
      <c r="C10" s="11">
        <v>750</v>
      </c>
      <c r="D10" s="11">
        <v>0</v>
      </c>
      <c r="E10" s="11">
        <v>750</v>
      </c>
      <c r="F10" s="11">
        <v>22</v>
      </c>
      <c r="G10" s="11">
        <v>728</v>
      </c>
      <c r="H10" s="12">
        <f t="shared" si="0"/>
        <v>2.9333333333333333E-2</v>
      </c>
      <c r="I10" s="13">
        <f>IF(E10=0,"",(H10-'KPI Summary'!$C$12)*100)</f>
        <v>-3.8397567464842255</v>
      </c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23" customHeight="1">
      <c r="A11" s="1"/>
      <c r="B11" s="6">
        <v>42767</v>
      </c>
      <c r="C11" s="11">
        <v>1653</v>
      </c>
      <c r="D11" s="11">
        <v>0</v>
      </c>
      <c r="E11" s="11">
        <v>1653</v>
      </c>
      <c r="F11" s="11">
        <v>49</v>
      </c>
      <c r="G11" s="11">
        <v>1604</v>
      </c>
      <c r="H11" s="12">
        <f t="shared" si="0"/>
        <v>2.9643073200241985E-2</v>
      </c>
      <c r="I11" s="13">
        <f>IF(E11=0,"",(H11-'KPI Summary'!$C$12)*100)</f>
        <v>-3.808782759793361</v>
      </c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23" customHeight="1">
      <c r="A12" s="1"/>
      <c r="B12" s="6">
        <v>42795</v>
      </c>
      <c r="C12" s="11">
        <v>2546</v>
      </c>
      <c r="D12" s="11">
        <v>0</v>
      </c>
      <c r="E12" s="11">
        <v>2546</v>
      </c>
      <c r="F12" s="11">
        <v>116</v>
      </c>
      <c r="G12" s="11">
        <v>2430</v>
      </c>
      <c r="H12" s="12">
        <f t="shared" si="0"/>
        <v>4.5561665357423412E-2</v>
      </c>
      <c r="I12" s="13">
        <f>IF(E12=0,"",(H12-'KPI Summary'!$C$12)*100)</f>
        <v>-2.2169235440752182</v>
      </c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23" customHeight="1">
      <c r="A13" s="1"/>
      <c r="B13" s="6">
        <v>42826</v>
      </c>
      <c r="C13" s="11">
        <v>2303</v>
      </c>
      <c r="D13" s="11">
        <v>0</v>
      </c>
      <c r="E13" s="11">
        <v>2303</v>
      </c>
      <c r="F13" s="11">
        <v>151</v>
      </c>
      <c r="G13" s="11">
        <v>2152</v>
      </c>
      <c r="H13" s="12">
        <f t="shared" si="0"/>
        <v>6.5566652192792008E-2</v>
      </c>
      <c r="I13" s="13">
        <f>IF(E13=0,"",(H13-'KPI Summary'!$C$12)*100)</f>
        <v>-0.21642486053835841</v>
      </c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23" customHeight="1">
      <c r="A14" s="1"/>
      <c r="B14" s="6">
        <v>42856</v>
      </c>
      <c r="C14" s="11">
        <v>3546</v>
      </c>
      <c r="D14" s="11">
        <v>1</v>
      </c>
      <c r="E14" s="11">
        <v>3545</v>
      </c>
      <c r="F14" s="11">
        <v>106</v>
      </c>
      <c r="G14" s="11">
        <v>3439</v>
      </c>
      <c r="H14" s="12">
        <f t="shared" si="0"/>
        <v>2.9901269393511988E-2</v>
      </c>
      <c r="I14" s="13">
        <f>IF(E14=0,"",(H14-'KPI Summary'!$C$12)*100)</f>
        <v>-3.7829631404663604</v>
      </c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23" customHeight="1">
      <c r="A15" s="1"/>
      <c r="B15" s="6">
        <v>42887</v>
      </c>
      <c r="C15" s="11">
        <v>3135</v>
      </c>
      <c r="D15" s="11">
        <v>0</v>
      </c>
      <c r="E15" s="11">
        <v>3135</v>
      </c>
      <c r="F15" s="11">
        <v>95</v>
      </c>
      <c r="G15" s="11">
        <v>3040</v>
      </c>
      <c r="H15" s="12">
        <f t="shared" si="0"/>
        <v>3.0303030303030304E-2</v>
      </c>
      <c r="I15" s="13">
        <f>IF(E15=0,"",(H15-'KPI Summary'!$C$12)*100)</f>
        <v>-3.7427870495145288</v>
      </c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23" customHeight="1">
      <c r="A16" s="1"/>
      <c r="B16" s="6">
        <v>42917</v>
      </c>
      <c r="C16" s="11">
        <v>3872</v>
      </c>
      <c r="D16" s="11">
        <v>0</v>
      </c>
      <c r="E16" s="11">
        <v>3872</v>
      </c>
      <c r="F16" s="11">
        <v>108</v>
      </c>
      <c r="G16" s="11">
        <v>3764</v>
      </c>
      <c r="H16" s="12">
        <f t="shared" si="0"/>
        <v>2.7892561983471075E-2</v>
      </c>
      <c r="I16" s="13">
        <f>IF(E16=0,"",(H16-'KPI Summary'!$C$12)*100)</f>
        <v>-3.9838338814704515</v>
      </c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23" customHeight="1">
      <c r="A17" s="1"/>
      <c r="B17" s="6">
        <v>42948</v>
      </c>
      <c r="C17" s="11">
        <v>4193</v>
      </c>
      <c r="D17" s="11">
        <v>0</v>
      </c>
      <c r="E17" s="11">
        <v>4193</v>
      </c>
      <c r="F17" s="11">
        <v>122</v>
      </c>
      <c r="G17" s="11">
        <v>4071</v>
      </c>
      <c r="H17" s="12">
        <f t="shared" si="0"/>
        <v>2.9096112568566659E-2</v>
      </c>
      <c r="I17" s="13">
        <f>IF(E17=0,"",(H17-'KPI Summary'!$C$12)*100)</f>
        <v>-3.8634788229608934</v>
      </c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23" customHeight="1">
      <c r="A18" s="1"/>
      <c r="B18" s="6">
        <v>42979</v>
      </c>
      <c r="C18" s="11">
        <v>4150</v>
      </c>
      <c r="D18" s="11">
        <v>0</v>
      </c>
      <c r="E18" s="11">
        <v>4150</v>
      </c>
      <c r="F18" s="11">
        <v>182</v>
      </c>
      <c r="G18" s="11">
        <v>3968</v>
      </c>
      <c r="H18" s="12">
        <f t="shared" si="0"/>
        <v>4.3855421686746991E-2</v>
      </c>
      <c r="I18" s="13">
        <f>IF(E18=0,"",(H18-'KPI Summary'!$C$12)*100)</f>
        <v>-2.3875479111428599</v>
      </c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23" customHeight="1">
      <c r="A19" s="1"/>
      <c r="B19" s="6">
        <v>43009</v>
      </c>
      <c r="C19" s="11">
        <v>4478</v>
      </c>
      <c r="D19" s="11">
        <v>0</v>
      </c>
      <c r="E19" s="11">
        <v>4478</v>
      </c>
      <c r="F19" s="11">
        <v>187</v>
      </c>
      <c r="G19" s="11">
        <v>4291</v>
      </c>
      <c r="H19" s="12">
        <f t="shared" si="0"/>
        <v>4.1759714158106295E-2</v>
      </c>
      <c r="I19" s="13">
        <f>IF(E19=0,"",(H19-'KPI Summary'!$C$12)*100)</f>
        <v>-2.5971186640069295</v>
      </c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23" customHeight="1">
      <c r="A20" s="1"/>
      <c r="B20" s="6">
        <v>43040</v>
      </c>
      <c r="C20" s="11">
        <v>7289</v>
      </c>
      <c r="D20" s="11">
        <v>1</v>
      </c>
      <c r="E20" s="11">
        <v>7288</v>
      </c>
      <c r="F20" s="11">
        <v>904</v>
      </c>
      <c r="G20" s="11">
        <v>6384</v>
      </c>
      <c r="H20" s="12">
        <f t="shared" si="0"/>
        <v>0.12403951701427003</v>
      </c>
      <c r="I20" s="13">
        <f>IF(E20=0,"",(H20-'KPI Summary'!$C$12)*100)</f>
        <v>5.6308616216094443</v>
      </c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23" customHeight="1">
      <c r="A21" s="1"/>
      <c r="B21" s="6">
        <v>43070</v>
      </c>
      <c r="C21" s="11">
        <v>5513</v>
      </c>
      <c r="D21" s="11">
        <v>0</v>
      </c>
      <c r="E21" s="11">
        <v>5513</v>
      </c>
      <c r="F21" s="11">
        <v>411</v>
      </c>
      <c r="G21" s="11">
        <v>5102</v>
      </c>
      <c r="H21" s="12">
        <f t="shared" si="0"/>
        <v>7.4551061128242335E-2</v>
      </c>
      <c r="I21" s="13">
        <f>IF(E21=0,"",(H21-'KPI Summary'!$C$12)*100)</f>
        <v>0.68201603300667435</v>
      </c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23" customHeight="1">
      <c r="A22" s="1"/>
      <c r="B22" s="6">
        <v>43101</v>
      </c>
      <c r="C22" s="11">
        <v>7069</v>
      </c>
      <c r="D22" s="11">
        <v>0</v>
      </c>
      <c r="E22" s="11">
        <v>7069</v>
      </c>
      <c r="F22" s="11">
        <v>403</v>
      </c>
      <c r="G22" s="11">
        <v>6666</v>
      </c>
      <c r="H22" s="12">
        <f t="shared" si="0"/>
        <v>5.7009478002546327E-2</v>
      </c>
      <c r="I22" s="13">
        <f>IF(E22=0,"",(H22-'KPI Summary'!$C$12)*100)</f>
        <v>-1.0721422795629265</v>
      </c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23" customHeight="1">
      <c r="A23" s="1"/>
      <c r="B23" s="6">
        <v>43132</v>
      </c>
      <c r="C23" s="11">
        <v>6555</v>
      </c>
      <c r="D23" s="11">
        <v>0</v>
      </c>
      <c r="E23" s="11">
        <v>6555</v>
      </c>
      <c r="F23" s="11">
        <v>926</v>
      </c>
      <c r="G23" s="11">
        <v>5629</v>
      </c>
      <c r="H23" s="12">
        <f t="shared" si="0"/>
        <v>0.14126620900076278</v>
      </c>
      <c r="I23" s="13">
        <f>IF(E23=0,"",(H23-'KPI Summary'!$C$12)*100)</f>
        <v>7.3535308202587188</v>
      </c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23" customHeight="1">
      <c r="A24" s="1"/>
      <c r="B24" s="6">
        <v>43160</v>
      </c>
      <c r="C24" s="11">
        <v>7003</v>
      </c>
      <c r="D24" s="11">
        <v>0</v>
      </c>
      <c r="E24" s="11">
        <v>7003</v>
      </c>
      <c r="F24" s="11">
        <v>1328</v>
      </c>
      <c r="G24" s="11">
        <v>5675</v>
      </c>
      <c r="H24" s="12">
        <f t="shared" si="0"/>
        <v>0.18963301442239042</v>
      </c>
      <c r="I24" s="13">
        <f>IF(E24=0,"",(H24-'KPI Summary'!$C$12)*100)</f>
        <v>12.190211362421483</v>
      </c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23" customHeight="1">
      <c r="A25" s="1"/>
      <c r="B25" s="6">
        <v>43191</v>
      </c>
      <c r="C25" s="11">
        <v>6798</v>
      </c>
      <c r="D25" s="11">
        <v>0</v>
      </c>
      <c r="E25" s="11">
        <v>6798</v>
      </c>
      <c r="F25" s="11">
        <v>306</v>
      </c>
      <c r="G25" s="11">
        <v>6492</v>
      </c>
      <c r="H25" s="12">
        <f t="shared" si="0"/>
        <v>4.5013239187996469E-2</v>
      </c>
      <c r="I25" s="13">
        <f>IF(E25=0,"",(H25-'KPI Summary'!$C$12)*100)</f>
        <v>-2.2717661610179123</v>
      </c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36" customHeight="1">
      <c r="A26" s="1"/>
      <c r="B26" s="6">
        <v>43221</v>
      </c>
      <c r="C26" s="11">
        <v>6749</v>
      </c>
      <c r="D26" s="11">
        <v>0</v>
      </c>
      <c r="E26" s="11">
        <v>6749</v>
      </c>
      <c r="F26" s="11">
        <v>443</v>
      </c>
      <c r="G26" s="11">
        <v>6306</v>
      </c>
      <c r="H26" s="12">
        <f t="shared" si="0"/>
        <v>6.5639353978367163E-2</v>
      </c>
      <c r="I26" s="13">
        <f>IF(E26=0,"",(H26-'KPI Summary'!$C$12)*100)</f>
        <v>-0.20915468198084292</v>
      </c>
      <c r="J26" s="1"/>
      <c r="K26" s="7" t="s">
        <v>44</v>
      </c>
      <c r="L26" s="7" t="s">
        <v>22</v>
      </c>
      <c r="M26" s="7" t="s">
        <v>48</v>
      </c>
      <c r="N26" s="1"/>
      <c r="O26" s="1"/>
      <c r="P26" s="1"/>
      <c r="Q26" s="1"/>
      <c r="R26" s="1"/>
      <c r="S26" s="1"/>
    </row>
    <row r="27" spans="1:19" ht="23" customHeight="1">
      <c r="A27" s="1"/>
      <c r="B27" s="6">
        <v>43252</v>
      </c>
      <c r="C27" s="11">
        <v>6099</v>
      </c>
      <c r="D27" s="11">
        <v>3</v>
      </c>
      <c r="E27" s="11">
        <v>6096</v>
      </c>
      <c r="F27" s="11">
        <v>71</v>
      </c>
      <c r="G27" s="11">
        <v>6025</v>
      </c>
      <c r="H27" s="12">
        <f t="shared" si="0"/>
        <v>1.1646981627296589E-2</v>
      </c>
      <c r="I27" s="13">
        <f>IF(E27=0,"",(H27-'KPI Summary'!$C$12)*100)</f>
        <v>-5.6083919170879</v>
      </c>
      <c r="J27" s="1"/>
      <c r="K27" s="4" t="str">
        <f t="shared" ref="K27:K46" si="1">TEXT(B10,"mmm yy")</f>
        <v>Jan 17</v>
      </c>
      <c r="L27" s="12">
        <f t="shared" ref="L27:L46" si="2">H10</f>
        <v>2.9333333333333333E-2</v>
      </c>
      <c r="M27" s="12">
        <f>'KPI Summary'!$C$12</f>
        <v>6.7730900798175592E-2</v>
      </c>
      <c r="N27" s="1"/>
      <c r="O27" s="1"/>
      <c r="P27" s="1"/>
      <c r="Q27" s="1"/>
      <c r="R27" s="1"/>
      <c r="S27" s="1"/>
    </row>
    <row r="28" spans="1:19" ht="23" customHeight="1">
      <c r="A28" s="1"/>
      <c r="B28" s="6">
        <v>43282</v>
      </c>
      <c r="C28" s="11">
        <v>6159</v>
      </c>
      <c r="D28" s="11">
        <v>3</v>
      </c>
      <c r="E28" s="11">
        <v>6156</v>
      </c>
      <c r="F28" s="11">
        <v>208</v>
      </c>
      <c r="G28" s="11">
        <v>5948</v>
      </c>
      <c r="H28" s="12">
        <f t="shared" si="0"/>
        <v>3.378817413905133E-2</v>
      </c>
      <c r="I28" s="13">
        <f>IF(E28=0,"",(H28-'KPI Summary'!$C$12)*100)</f>
        <v>-3.394272665912426</v>
      </c>
      <c r="J28" s="1"/>
      <c r="K28" s="4" t="str">
        <f t="shared" si="1"/>
        <v>Feb 17</v>
      </c>
      <c r="L28" s="12">
        <f t="shared" si="2"/>
        <v>2.9643073200241985E-2</v>
      </c>
      <c r="M28" s="12">
        <f>'KPI Summary'!$C$12</f>
        <v>6.7730900798175592E-2</v>
      </c>
      <c r="N28" s="1"/>
      <c r="O28" s="1"/>
      <c r="P28" s="1"/>
      <c r="Q28" s="1"/>
      <c r="R28" s="1"/>
      <c r="S28" s="1"/>
    </row>
    <row r="29" spans="1:19" ht="23" customHeight="1">
      <c r="A29" s="1"/>
      <c r="B29" s="6">
        <v>43313</v>
      </c>
      <c r="C29" s="11">
        <v>6351</v>
      </c>
      <c r="D29" s="11">
        <v>0</v>
      </c>
      <c r="E29" s="11">
        <v>6351</v>
      </c>
      <c r="F29" s="11">
        <v>393</v>
      </c>
      <c r="G29" s="11">
        <v>5958</v>
      </c>
      <c r="H29" s="12">
        <f t="shared" si="0"/>
        <v>6.1880018894662256E-2</v>
      </c>
      <c r="I29" s="13">
        <f>IF(E29=0,"",(H29-'KPI Summary'!$C$12)*100)</f>
        <v>-0.58508819035133364</v>
      </c>
      <c r="J29" s="1"/>
      <c r="K29" s="4" t="str">
        <f t="shared" si="1"/>
        <v>Mar 17</v>
      </c>
      <c r="L29" s="12">
        <f t="shared" si="2"/>
        <v>4.5561665357423412E-2</v>
      </c>
      <c r="M29" s="12">
        <f>'KPI Summary'!$C$12</f>
        <v>6.7730900798175592E-2</v>
      </c>
      <c r="N29" s="1"/>
      <c r="O29" s="1"/>
      <c r="P29" s="1"/>
      <c r="Q29" s="1"/>
      <c r="R29" s="1"/>
      <c r="S29" s="1"/>
    </row>
    <row r="30" spans="1:19" ht="23" customHeight="1">
      <c r="A30" s="1"/>
      <c r="B30" s="1"/>
      <c r="C30" s="11"/>
      <c r="D30" s="11"/>
      <c r="E30" s="11"/>
      <c r="F30" s="11"/>
      <c r="G30" s="11"/>
      <c r="H30" s="14"/>
      <c r="I30" s="14"/>
      <c r="J30" s="1"/>
      <c r="K30" s="4" t="str">
        <f t="shared" si="1"/>
        <v>Apr 17</v>
      </c>
      <c r="L30" s="12">
        <f t="shared" si="2"/>
        <v>6.5566652192792008E-2</v>
      </c>
      <c r="M30" s="12">
        <f>'KPI Summary'!$C$12</f>
        <v>6.7730900798175592E-2</v>
      </c>
      <c r="N30" s="1"/>
      <c r="O30" s="1"/>
      <c r="P30" s="1"/>
      <c r="Q30" s="1"/>
      <c r="R30" s="1"/>
      <c r="S30" s="1"/>
    </row>
    <row r="31" spans="1:19" ht="23" customHeight="1">
      <c r="A31" s="1"/>
      <c r="B31" s="8" t="s">
        <v>49</v>
      </c>
      <c r="C31" s="15">
        <f>SUM(C7:C29)</f>
        <v>96478</v>
      </c>
      <c r="D31" s="15">
        <f>SUM(D7:D29)</f>
        <v>8</v>
      </c>
      <c r="E31" s="15">
        <f>SUM(E7:E29)</f>
        <v>96470</v>
      </c>
      <c r="F31" s="15">
        <f>SUM(F7:F29)</f>
        <v>6534</v>
      </c>
      <c r="G31" s="15">
        <f>SUM(G7:G29)</f>
        <v>89936</v>
      </c>
      <c r="H31" s="16">
        <f>IF(E31=0,"",F31/E31)</f>
        <v>6.7730900798175592E-2</v>
      </c>
      <c r="I31" s="17"/>
      <c r="J31" s="1"/>
      <c r="K31" s="4" t="str">
        <f t="shared" si="1"/>
        <v>May 17</v>
      </c>
      <c r="L31" s="12">
        <f t="shared" si="2"/>
        <v>2.9901269393511988E-2</v>
      </c>
      <c r="M31" s="12">
        <f>'KPI Summary'!$C$12</f>
        <v>6.7730900798175592E-2</v>
      </c>
      <c r="N31" s="1"/>
      <c r="O31" s="1"/>
      <c r="P31" s="1"/>
      <c r="Q31" s="1"/>
      <c r="R31" s="1"/>
      <c r="S31" s="1"/>
    </row>
    <row r="32" spans="1:19" ht="23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4" t="str">
        <f t="shared" si="1"/>
        <v>Jun 17</v>
      </c>
      <c r="L32" s="12">
        <f t="shared" si="2"/>
        <v>3.0303030303030304E-2</v>
      </c>
      <c r="M32" s="12">
        <f>'KPI Summary'!$C$12</f>
        <v>6.7730900798175592E-2</v>
      </c>
      <c r="N32" s="1"/>
      <c r="O32" s="1"/>
      <c r="P32" s="1"/>
      <c r="Q32" s="1"/>
      <c r="R32" s="1"/>
      <c r="S32" s="1"/>
    </row>
    <row r="33" spans="1:19" ht="23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4" t="str">
        <f t="shared" si="1"/>
        <v>Jul 17</v>
      </c>
      <c r="L33" s="12">
        <f t="shared" si="2"/>
        <v>2.7892561983471075E-2</v>
      </c>
      <c r="M33" s="12">
        <f>'KPI Summary'!$C$12</f>
        <v>6.7730900798175592E-2</v>
      </c>
      <c r="N33" s="1"/>
      <c r="O33" s="1"/>
      <c r="P33" s="1"/>
      <c r="Q33" s="1"/>
      <c r="R33" s="1"/>
      <c r="S33" s="1"/>
    </row>
    <row r="34" spans="1:19" ht="23" customHeight="1">
      <c r="A34" s="1"/>
      <c r="B34" s="3" t="s">
        <v>50</v>
      </c>
      <c r="C34" s="1"/>
      <c r="D34" s="1"/>
      <c r="E34" s="1"/>
      <c r="F34" s="1"/>
      <c r="G34" s="1"/>
      <c r="H34" s="1"/>
      <c r="I34" s="1"/>
      <c r="J34" s="1"/>
      <c r="K34" s="4" t="str">
        <f t="shared" si="1"/>
        <v>Aug 17</v>
      </c>
      <c r="L34" s="12">
        <f t="shared" si="2"/>
        <v>2.9096112568566659E-2</v>
      </c>
      <c r="M34" s="12">
        <f>'KPI Summary'!$C$12</f>
        <v>6.7730900798175592E-2</v>
      </c>
      <c r="N34" s="1"/>
      <c r="O34" s="1"/>
      <c r="P34" s="1"/>
      <c r="Q34" s="1"/>
      <c r="R34" s="1"/>
      <c r="S34" s="1"/>
    </row>
    <row r="35" spans="1:19" ht="23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4" t="str">
        <f t="shared" si="1"/>
        <v>Sep 17</v>
      </c>
      <c r="L35" s="12">
        <f t="shared" si="2"/>
        <v>4.3855421686746991E-2</v>
      </c>
      <c r="M35" s="12">
        <f>'KPI Summary'!$C$12</f>
        <v>6.7730900798175592E-2</v>
      </c>
      <c r="N35" s="1"/>
      <c r="O35" s="1"/>
      <c r="P35" s="1"/>
      <c r="Q35" s="1"/>
      <c r="R35" s="1"/>
      <c r="S35" s="1"/>
    </row>
    <row r="36" spans="1:19" ht="23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4" t="str">
        <f t="shared" si="1"/>
        <v>Oct 17</v>
      </c>
      <c r="L36" s="12">
        <f t="shared" si="2"/>
        <v>4.1759714158106295E-2</v>
      </c>
      <c r="M36" s="12">
        <f>'KPI Summary'!$C$12</f>
        <v>6.7730900798175592E-2</v>
      </c>
      <c r="N36" s="1"/>
      <c r="O36" s="1"/>
      <c r="P36" s="1"/>
      <c r="Q36" s="1"/>
      <c r="R36" s="1"/>
      <c r="S36" s="1"/>
    </row>
    <row r="37" spans="1:19" ht="23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4" t="str">
        <f t="shared" si="1"/>
        <v>Nov 17</v>
      </c>
      <c r="L37" s="12">
        <f t="shared" si="2"/>
        <v>0.12403951701427003</v>
      </c>
      <c r="M37" s="12">
        <f>'KPI Summary'!$C$12</f>
        <v>6.7730900798175592E-2</v>
      </c>
      <c r="N37" s="1"/>
      <c r="O37" s="1"/>
      <c r="P37" s="1"/>
      <c r="Q37" s="1"/>
      <c r="R37" s="1"/>
      <c r="S37" s="1"/>
    </row>
    <row r="38" spans="1:19" ht="23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4" t="str">
        <f t="shared" si="1"/>
        <v>Dec 17</v>
      </c>
      <c r="L38" s="12">
        <f t="shared" si="2"/>
        <v>7.4551061128242335E-2</v>
      </c>
      <c r="M38" s="12">
        <f>'KPI Summary'!$C$12</f>
        <v>6.7730900798175592E-2</v>
      </c>
      <c r="N38" s="1"/>
      <c r="O38" s="1"/>
      <c r="P38" s="1"/>
      <c r="Q38" s="1"/>
      <c r="R38" s="1"/>
      <c r="S38" s="1"/>
    </row>
    <row r="39" spans="1:19" ht="23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4" t="str">
        <f t="shared" si="1"/>
        <v>Jan 18</v>
      </c>
      <c r="L39" s="12">
        <f t="shared" si="2"/>
        <v>5.7009478002546327E-2</v>
      </c>
      <c r="M39" s="12">
        <f>'KPI Summary'!$C$12</f>
        <v>6.7730900798175592E-2</v>
      </c>
      <c r="N39" s="1"/>
      <c r="O39" s="1"/>
      <c r="P39" s="1"/>
      <c r="Q39" s="1"/>
      <c r="R39" s="1"/>
      <c r="S39" s="1"/>
    </row>
    <row r="40" spans="1:19" ht="23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4" t="str">
        <f t="shared" si="1"/>
        <v>Feb 18</v>
      </c>
      <c r="L40" s="12">
        <f t="shared" si="2"/>
        <v>0.14126620900076278</v>
      </c>
      <c r="M40" s="12">
        <f>'KPI Summary'!$C$12</f>
        <v>6.7730900798175592E-2</v>
      </c>
      <c r="N40" s="1"/>
      <c r="O40" s="1"/>
      <c r="P40" s="1"/>
      <c r="Q40" s="1"/>
      <c r="R40" s="1"/>
      <c r="S40" s="1"/>
    </row>
    <row r="41" spans="1:19" ht="23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4" t="str">
        <f t="shared" si="1"/>
        <v>Mar 18</v>
      </c>
      <c r="L41" s="12">
        <f t="shared" si="2"/>
        <v>0.18963301442239042</v>
      </c>
      <c r="M41" s="12">
        <f>'KPI Summary'!$C$12</f>
        <v>6.7730900798175592E-2</v>
      </c>
      <c r="N41" s="1"/>
      <c r="O41" s="1"/>
      <c r="P41" s="1"/>
      <c r="Q41" s="1"/>
      <c r="R41" s="1"/>
      <c r="S41" s="1"/>
    </row>
    <row r="42" spans="1:19" ht="23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4" t="str">
        <f t="shared" si="1"/>
        <v>Apr 18</v>
      </c>
      <c r="L42" s="12">
        <f t="shared" si="2"/>
        <v>4.5013239187996469E-2</v>
      </c>
      <c r="M42" s="12">
        <f>'KPI Summary'!$C$12</f>
        <v>6.7730900798175592E-2</v>
      </c>
      <c r="N42" s="1"/>
      <c r="O42" s="1"/>
      <c r="P42" s="1"/>
      <c r="Q42" s="1"/>
      <c r="R42" s="1"/>
      <c r="S42" s="1"/>
    </row>
    <row r="43" spans="1:19" ht="23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4" t="str">
        <f t="shared" si="1"/>
        <v>May 18</v>
      </c>
      <c r="L43" s="12">
        <f t="shared" si="2"/>
        <v>6.5639353978367163E-2</v>
      </c>
      <c r="M43" s="12">
        <f>'KPI Summary'!$C$12</f>
        <v>6.7730900798175592E-2</v>
      </c>
      <c r="N43" s="1"/>
      <c r="O43" s="1"/>
      <c r="P43" s="1"/>
      <c r="Q43" s="1"/>
      <c r="R43" s="1"/>
      <c r="S43" s="1"/>
    </row>
    <row r="44" spans="1:19" ht="23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4" t="str">
        <f t="shared" si="1"/>
        <v>Jun 18</v>
      </c>
      <c r="L44" s="12">
        <f t="shared" si="2"/>
        <v>1.1646981627296589E-2</v>
      </c>
      <c r="M44" s="12">
        <f>'KPI Summary'!$C$12</f>
        <v>6.7730900798175592E-2</v>
      </c>
      <c r="N44" s="1"/>
      <c r="O44" s="1"/>
      <c r="P44" s="1"/>
      <c r="Q44" s="1"/>
      <c r="R44" s="1"/>
      <c r="S44" s="1"/>
    </row>
    <row r="45" spans="1:19" ht="23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4" t="str">
        <f t="shared" si="1"/>
        <v>Jul 18</v>
      </c>
      <c r="L45" s="12">
        <f t="shared" si="2"/>
        <v>3.378817413905133E-2</v>
      </c>
      <c r="M45" s="12">
        <f>'KPI Summary'!$C$12</f>
        <v>6.7730900798175592E-2</v>
      </c>
      <c r="N45" s="1"/>
      <c r="O45" s="1"/>
      <c r="P45" s="1"/>
      <c r="Q45" s="1"/>
      <c r="R45" s="1"/>
      <c r="S45" s="1"/>
    </row>
    <row r="46" spans="1:19" ht="23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4" t="str">
        <f t="shared" si="1"/>
        <v>Aug 18</v>
      </c>
      <c r="L46" s="12">
        <f t="shared" si="2"/>
        <v>6.1880018894662256E-2</v>
      </c>
      <c r="M46" s="12">
        <f>'KPI Summary'!$C$12</f>
        <v>6.7730900798175592E-2</v>
      </c>
      <c r="N46" s="1"/>
      <c r="O46" s="1"/>
      <c r="P46" s="1"/>
      <c r="Q46" s="1"/>
      <c r="R46" s="1"/>
      <c r="S46" s="1"/>
    </row>
    <row r="47" spans="1:19" ht="23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23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7"/>
  <sheetViews>
    <sheetView showGridLines="0" workbookViewId="0">
      <pane ySplit="6" topLeftCell="A7" activePane="bottomLeft" state="frozen"/>
      <selection pane="bottomLeft"/>
    </sheetView>
  </sheetViews>
  <sheetFormatPr baseColWidth="10" defaultColWidth="8.83203125" defaultRowHeight="14"/>
  <cols>
    <col min="1" max="1" width="3" customWidth="1"/>
    <col min="2" max="2" width="17" customWidth="1"/>
    <col min="3" max="7" width="16" customWidth="1"/>
    <col min="8" max="8" width="17" customWidth="1"/>
    <col min="9" max="9" width="3" customWidth="1"/>
    <col min="10" max="18" width="11" customWidth="1"/>
  </cols>
  <sheetData>
    <row r="1" spans="1:18" ht="2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30" customHeight="1">
      <c r="A2" s="1"/>
      <c r="B2" s="2" t="s">
        <v>51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23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23" customHeight="1">
      <c r="A4" s="1"/>
      <c r="B4" s="3" t="s">
        <v>52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23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36" customHeight="1">
      <c r="A6" s="1"/>
      <c r="B6" s="7" t="s">
        <v>53</v>
      </c>
      <c r="C6" s="7" t="s">
        <v>45</v>
      </c>
      <c r="D6" s="7" t="s">
        <v>46</v>
      </c>
      <c r="E6" s="7" t="s">
        <v>13</v>
      </c>
      <c r="F6" s="7" t="s">
        <v>16</v>
      </c>
      <c r="G6" s="7" t="s">
        <v>18</v>
      </c>
      <c r="H6" s="7" t="s">
        <v>22</v>
      </c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23" customHeight="1">
      <c r="A7" s="1"/>
      <c r="B7" s="1" t="s">
        <v>54</v>
      </c>
      <c r="C7" s="11">
        <v>397</v>
      </c>
      <c r="D7" s="11">
        <v>0</v>
      </c>
      <c r="E7" s="11">
        <v>397</v>
      </c>
      <c r="F7" s="11">
        <v>85</v>
      </c>
      <c r="G7" s="11">
        <v>312</v>
      </c>
      <c r="H7" s="12">
        <f t="shared" ref="H7:H33" si="0">IF(E7=0,"",F7/E7)</f>
        <v>0.2141057934508816</v>
      </c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3" customHeight="1">
      <c r="A8" s="1"/>
      <c r="B8" s="1" t="s">
        <v>55</v>
      </c>
      <c r="C8" s="11">
        <v>717</v>
      </c>
      <c r="D8" s="11">
        <v>0</v>
      </c>
      <c r="E8" s="11">
        <v>717</v>
      </c>
      <c r="F8" s="11">
        <v>125</v>
      </c>
      <c r="G8" s="11">
        <v>592</v>
      </c>
      <c r="H8" s="12">
        <f t="shared" si="0"/>
        <v>0.17433751743375175</v>
      </c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23" customHeight="1">
      <c r="A9" s="1"/>
      <c r="B9" s="1" t="s">
        <v>56</v>
      </c>
      <c r="C9" s="11">
        <v>335</v>
      </c>
      <c r="D9" s="11">
        <v>0</v>
      </c>
      <c r="E9" s="11">
        <v>335</v>
      </c>
      <c r="F9" s="11">
        <v>51</v>
      </c>
      <c r="G9" s="11">
        <v>284</v>
      </c>
      <c r="H9" s="12">
        <f t="shared" si="0"/>
        <v>0.15223880597014924</v>
      </c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3" customHeight="1">
      <c r="A10" s="1"/>
      <c r="B10" s="1" t="s">
        <v>57</v>
      </c>
      <c r="C10" s="11">
        <v>476</v>
      </c>
      <c r="D10" s="11">
        <v>0</v>
      </c>
      <c r="E10" s="11">
        <v>476</v>
      </c>
      <c r="F10" s="11">
        <v>66</v>
      </c>
      <c r="G10" s="11">
        <v>410</v>
      </c>
      <c r="H10" s="12">
        <f t="shared" si="0"/>
        <v>0.13865546218487396</v>
      </c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23" customHeight="1">
      <c r="A11" s="1"/>
      <c r="B11" s="1" t="s">
        <v>58</v>
      </c>
      <c r="C11" s="11">
        <v>1279</v>
      </c>
      <c r="D11" s="11">
        <v>0</v>
      </c>
      <c r="E11" s="11">
        <v>1279</v>
      </c>
      <c r="F11" s="11">
        <v>176</v>
      </c>
      <c r="G11" s="11">
        <v>1103</v>
      </c>
      <c r="H11" s="12">
        <f t="shared" si="0"/>
        <v>0.1376075058639562</v>
      </c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23" customHeight="1">
      <c r="A12" s="1"/>
      <c r="B12" s="1" t="s">
        <v>59</v>
      </c>
      <c r="C12" s="11">
        <v>41</v>
      </c>
      <c r="D12" s="11">
        <v>0</v>
      </c>
      <c r="E12" s="11">
        <v>41</v>
      </c>
      <c r="F12" s="11">
        <v>5</v>
      </c>
      <c r="G12" s="11">
        <v>36</v>
      </c>
      <c r="H12" s="12">
        <f t="shared" si="0"/>
        <v>0.12195121951219512</v>
      </c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23" customHeight="1">
      <c r="A13" s="1"/>
      <c r="B13" s="1" t="s">
        <v>60</v>
      </c>
      <c r="C13" s="11">
        <v>3256</v>
      </c>
      <c r="D13" s="11">
        <v>0</v>
      </c>
      <c r="E13" s="11">
        <v>3256</v>
      </c>
      <c r="F13" s="11">
        <v>396</v>
      </c>
      <c r="G13" s="11">
        <v>2860</v>
      </c>
      <c r="H13" s="12">
        <f t="shared" si="0"/>
        <v>0.12162162162162163</v>
      </c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23" customHeight="1">
      <c r="A14" s="1"/>
      <c r="B14" s="1" t="s">
        <v>61</v>
      </c>
      <c r="C14" s="11">
        <v>12350</v>
      </c>
      <c r="D14" s="11">
        <v>0</v>
      </c>
      <c r="E14" s="11">
        <v>12350</v>
      </c>
      <c r="F14" s="11">
        <v>1495</v>
      </c>
      <c r="G14" s="11">
        <v>10855</v>
      </c>
      <c r="H14" s="12">
        <f t="shared" si="0"/>
        <v>0.12105263157894737</v>
      </c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23" customHeight="1">
      <c r="A15" s="1"/>
      <c r="B15" s="1" t="s">
        <v>62</v>
      </c>
      <c r="C15" s="11">
        <v>946</v>
      </c>
      <c r="D15" s="11">
        <v>0</v>
      </c>
      <c r="E15" s="11">
        <v>946</v>
      </c>
      <c r="F15" s="11">
        <v>106</v>
      </c>
      <c r="G15" s="11">
        <v>840</v>
      </c>
      <c r="H15" s="12">
        <f t="shared" si="0"/>
        <v>0.11205073995771671</v>
      </c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23" customHeight="1">
      <c r="A16" s="1"/>
      <c r="B16" s="1" t="s">
        <v>63</v>
      </c>
      <c r="C16" s="11">
        <v>1995</v>
      </c>
      <c r="D16" s="11">
        <v>0</v>
      </c>
      <c r="E16" s="11">
        <v>1995</v>
      </c>
      <c r="F16" s="11">
        <v>214</v>
      </c>
      <c r="G16" s="11">
        <v>1781</v>
      </c>
      <c r="H16" s="12">
        <f t="shared" si="0"/>
        <v>0.10726817042606517</v>
      </c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23" customHeight="1">
      <c r="A17" s="1"/>
      <c r="B17" s="1" t="s">
        <v>64</v>
      </c>
      <c r="C17" s="11">
        <v>517</v>
      </c>
      <c r="D17" s="11">
        <v>0</v>
      </c>
      <c r="E17" s="11">
        <v>517</v>
      </c>
      <c r="F17" s="11">
        <v>54</v>
      </c>
      <c r="G17" s="11">
        <v>463</v>
      </c>
      <c r="H17" s="12">
        <f t="shared" si="0"/>
        <v>0.10444874274661509</v>
      </c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23" customHeight="1">
      <c r="A18" s="1"/>
      <c r="B18" s="1" t="s">
        <v>65</v>
      </c>
      <c r="C18" s="11">
        <v>274</v>
      </c>
      <c r="D18" s="11">
        <v>0</v>
      </c>
      <c r="E18" s="11">
        <v>274</v>
      </c>
      <c r="F18" s="11">
        <v>27</v>
      </c>
      <c r="G18" s="11">
        <v>247</v>
      </c>
      <c r="H18" s="12">
        <f t="shared" si="0"/>
        <v>9.8540145985401464E-2</v>
      </c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23" customHeight="1">
      <c r="A19" s="1"/>
      <c r="B19" s="1" t="s">
        <v>66</v>
      </c>
      <c r="C19" s="11">
        <v>701</v>
      </c>
      <c r="D19" s="11">
        <v>0</v>
      </c>
      <c r="E19" s="11">
        <v>701</v>
      </c>
      <c r="F19" s="11">
        <v>68</v>
      </c>
      <c r="G19" s="11">
        <v>633</v>
      </c>
      <c r="H19" s="12">
        <f t="shared" si="0"/>
        <v>9.700427960057062E-2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23" customHeight="1">
      <c r="A20" s="1"/>
      <c r="B20" s="1" t="s">
        <v>67</v>
      </c>
      <c r="C20" s="11">
        <v>1593</v>
      </c>
      <c r="D20" s="11">
        <v>0</v>
      </c>
      <c r="E20" s="11">
        <v>1593</v>
      </c>
      <c r="F20" s="11">
        <v>153</v>
      </c>
      <c r="G20" s="11">
        <v>1440</v>
      </c>
      <c r="H20" s="12">
        <f t="shared" si="0"/>
        <v>9.6045197740112997E-2</v>
      </c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23" customHeight="1">
      <c r="A21" s="1"/>
      <c r="B21" s="1" t="s">
        <v>68</v>
      </c>
      <c r="C21" s="11">
        <v>474</v>
      </c>
      <c r="D21" s="11">
        <v>0</v>
      </c>
      <c r="E21" s="11">
        <v>474</v>
      </c>
      <c r="F21" s="11">
        <v>44</v>
      </c>
      <c r="G21" s="11">
        <v>430</v>
      </c>
      <c r="H21" s="12">
        <f t="shared" si="0"/>
        <v>9.2827004219409287E-2</v>
      </c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23" customHeight="1">
      <c r="A22" s="1"/>
      <c r="B22" s="1" t="s">
        <v>69</v>
      </c>
      <c r="C22" s="11">
        <v>3546</v>
      </c>
      <c r="D22" s="11">
        <v>0</v>
      </c>
      <c r="E22" s="11">
        <v>3546</v>
      </c>
      <c r="F22" s="11">
        <v>291</v>
      </c>
      <c r="G22" s="11">
        <v>3255</v>
      </c>
      <c r="H22" s="12">
        <f t="shared" si="0"/>
        <v>8.2064297800338415E-2</v>
      </c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23" customHeight="1">
      <c r="A23" s="1"/>
      <c r="B23" s="1" t="s">
        <v>70</v>
      </c>
      <c r="C23" s="11">
        <v>1957</v>
      </c>
      <c r="D23" s="11">
        <v>0</v>
      </c>
      <c r="E23" s="11">
        <v>1957</v>
      </c>
      <c r="F23" s="11">
        <v>128</v>
      </c>
      <c r="G23" s="11">
        <v>1829</v>
      </c>
      <c r="H23" s="12">
        <f t="shared" si="0"/>
        <v>6.5406234031681151E-2</v>
      </c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23" customHeight="1">
      <c r="A24" s="1"/>
      <c r="B24" s="1" t="s">
        <v>71</v>
      </c>
      <c r="C24" s="11">
        <v>5345</v>
      </c>
      <c r="D24" s="11">
        <v>1</v>
      </c>
      <c r="E24" s="11">
        <v>5344</v>
      </c>
      <c r="F24" s="11">
        <v>325</v>
      </c>
      <c r="G24" s="11">
        <v>5019</v>
      </c>
      <c r="H24" s="12">
        <f t="shared" si="0"/>
        <v>6.0815868263473051E-2</v>
      </c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23" customHeight="1">
      <c r="A25" s="1"/>
      <c r="B25" s="1" t="s">
        <v>72</v>
      </c>
      <c r="C25" s="11">
        <v>886</v>
      </c>
      <c r="D25" s="11">
        <v>0</v>
      </c>
      <c r="E25" s="11">
        <v>886</v>
      </c>
      <c r="F25" s="11">
        <v>53</v>
      </c>
      <c r="G25" s="11">
        <v>833</v>
      </c>
      <c r="H25" s="12">
        <f t="shared" si="0"/>
        <v>5.9819413092550788E-2</v>
      </c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23" customHeight="1">
      <c r="A26" s="1"/>
      <c r="B26" s="1" t="s">
        <v>73</v>
      </c>
      <c r="C26" s="11">
        <v>2080</v>
      </c>
      <c r="D26" s="11">
        <v>0</v>
      </c>
      <c r="E26" s="11">
        <v>2080</v>
      </c>
      <c r="F26" s="11">
        <v>118</v>
      </c>
      <c r="G26" s="11">
        <v>1962</v>
      </c>
      <c r="H26" s="12">
        <f t="shared" si="0"/>
        <v>5.673076923076923E-2</v>
      </c>
      <c r="I26" s="1"/>
      <c r="J26" s="1" t="s">
        <v>48</v>
      </c>
      <c r="K26" s="1"/>
      <c r="L26" s="5">
        <f>'KPI Summary'!$C$12</f>
        <v>6.7730900798175592E-2</v>
      </c>
      <c r="M26" s="1"/>
      <c r="N26" s="1"/>
      <c r="O26" s="1"/>
      <c r="P26" s="1"/>
      <c r="Q26" s="1"/>
      <c r="R26" s="1"/>
    </row>
    <row r="27" spans="1:18" ht="23" customHeight="1">
      <c r="A27" s="1"/>
      <c r="B27" s="1" t="s">
        <v>74</v>
      </c>
      <c r="C27" s="11">
        <v>11354</v>
      </c>
      <c r="D27" s="11">
        <v>0</v>
      </c>
      <c r="E27" s="11">
        <v>11354</v>
      </c>
      <c r="F27" s="11">
        <v>519</v>
      </c>
      <c r="G27" s="11">
        <v>10835</v>
      </c>
      <c r="H27" s="12">
        <f t="shared" si="0"/>
        <v>4.5710762726792323E-2</v>
      </c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23" customHeight="1">
      <c r="A28" s="1"/>
      <c r="B28" s="1" t="s">
        <v>75</v>
      </c>
      <c r="C28" s="11">
        <v>40501</v>
      </c>
      <c r="D28" s="11">
        <v>7</v>
      </c>
      <c r="E28" s="11">
        <v>40494</v>
      </c>
      <c r="F28" s="11">
        <v>1820</v>
      </c>
      <c r="G28" s="11">
        <v>38674</v>
      </c>
      <c r="H28" s="12">
        <f t="shared" si="0"/>
        <v>4.4944930113103174E-2</v>
      </c>
      <c r="I28" s="1"/>
      <c r="J28" s="3" t="s">
        <v>76</v>
      </c>
      <c r="K28" s="1"/>
      <c r="L28" s="1"/>
      <c r="M28" s="1"/>
      <c r="N28" s="1"/>
      <c r="O28" s="1"/>
      <c r="P28" s="1"/>
      <c r="Q28" s="1"/>
      <c r="R28" s="1"/>
    </row>
    <row r="29" spans="1:18" ht="23" customHeight="1">
      <c r="A29" s="1"/>
      <c r="B29" s="1" t="s">
        <v>77</v>
      </c>
      <c r="C29" s="11">
        <v>4923</v>
      </c>
      <c r="D29" s="11">
        <v>0</v>
      </c>
      <c r="E29" s="11">
        <v>4923</v>
      </c>
      <c r="F29" s="11">
        <v>199</v>
      </c>
      <c r="G29" s="11">
        <v>4724</v>
      </c>
      <c r="H29" s="12">
        <f t="shared" si="0"/>
        <v>4.0422506601665652E-2</v>
      </c>
      <c r="I29" s="1"/>
      <c r="J29" s="3" t="s">
        <v>78</v>
      </c>
      <c r="K29" s="1"/>
      <c r="L29" s="1"/>
      <c r="M29" s="1"/>
      <c r="N29" s="1"/>
      <c r="O29" s="1"/>
      <c r="P29" s="1"/>
      <c r="Q29" s="1"/>
      <c r="R29" s="1"/>
    </row>
    <row r="30" spans="1:18" ht="23" customHeight="1">
      <c r="A30" s="1"/>
      <c r="B30" s="1" t="s">
        <v>79</v>
      </c>
      <c r="C30" s="11">
        <v>80</v>
      </c>
      <c r="D30" s="11">
        <v>0</v>
      </c>
      <c r="E30" s="11">
        <v>80</v>
      </c>
      <c r="F30" s="11">
        <v>3</v>
      </c>
      <c r="G30" s="11">
        <v>77</v>
      </c>
      <c r="H30" s="12">
        <f t="shared" si="0"/>
        <v>3.7499999999999999E-2</v>
      </c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23" customHeight="1">
      <c r="A31" s="1"/>
      <c r="B31" s="1" t="s">
        <v>80</v>
      </c>
      <c r="C31" s="11">
        <v>67</v>
      </c>
      <c r="D31" s="11">
        <v>0</v>
      </c>
      <c r="E31" s="11">
        <v>67</v>
      </c>
      <c r="F31" s="11">
        <v>2</v>
      </c>
      <c r="G31" s="11">
        <v>65</v>
      </c>
      <c r="H31" s="12">
        <f t="shared" si="0"/>
        <v>2.9850746268656716E-2</v>
      </c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23" customHeight="1">
      <c r="A32" s="1"/>
      <c r="B32" s="1" t="s">
        <v>81</v>
      </c>
      <c r="C32" s="11">
        <v>243</v>
      </c>
      <c r="D32" s="11">
        <v>0</v>
      </c>
      <c r="E32" s="11">
        <v>243</v>
      </c>
      <c r="F32" s="11">
        <v>7</v>
      </c>
      <c r="G32" s="11">
        <v>236</v>
      </c>
      <c r="H32" s="12">
        <f t="shared" si="0"/>
        <v>2.8806584362139918E-2</v>
      </c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23" customHeight="1">
      <c r="A33" s="1"/>
      <c r="B33" s="1" t="s">
        <v>82</v>
      </c>
      <c r="C33" s="11">
        <v>145</v>
      </c>
      <c r="D33" s="11">
        <v>0</v>
      </c>
      <c r="E33" s="11">
        <v>145</v>
      </c>
      <c r="F33" s="11">
        <v>4</v>
      </c>
      <c r="G33" s="11">
        <v>141</v>
      </c>
      <c r="H33" s="12">
        <f t="shared" si="0"/>
        <v>2.7586206896551724E-2</v>
      </c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23" customHeight="1">
      <c r="A34" s="1"/>
      <c r="B34" s="1"/>
      <c r="C34" s="11"/>
      <c r="D34" s="11"/>
      <c r="E34" s="11"/>
      <c r="F34" s="11"/>
      <c r="G34" s="11"/>
      <c r="H34" s="14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23" customHeight="1">
      <c r="A35" s="1"/>
      <c r="B35" s="8" t="s">
        <v>49</v>
      </c>
      <c r="C35" s="15">
        <f>SUM(C7:C33)</f>
        <v>96478</v>
      </c>
      <c r="D35" s="15">
        <f>SUM(D7:D33)</f>
        <v>8</v>
      </c>
      <c r="E35" s="15">
        <f>SUM(E7:E33)</f>
        <v>96470</v>
      </c>
      <c r="F35" s="15">
        <f>SUM(F7:F33)</f>
        <v>6534</v>
      </c>
      <c r="G35" s="15">
        <f>SUM(G7:G33)</f>
        <v>89936</v>
      </c>
      <c r="H35" s="16">
        <f>IF(E35=0,"",F35/E35)</f>
        <v>6.7730900798175592E-2</v>
      </c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23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23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</sheetData>
  <conditionalFormatting sqref="H7:H33">
    <cfRule type="cellIs" dxfId="0" priority="1" operator="greaterThan">
      <formula>$L$26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0"/>
  <sheetViews>
    <sheetView showGridLines="0" workbookViewId="0"/>
  </sheetViews>
  <sheetFormatPr baseColWidth="10" defaultColWidth="8.83203125" defaultRowHeight="14"/>
  <cols>
    <col min="1" max="1" width="3" customWidth="1"/>
    <col min="2" max="2" width="24" customWidth="1"/>
    <col min="3" max="6" width="21" customWidth="1"/>
    <col min="7" max="7" width="3" customWidth="1"/>
    <col min="8" max="18" width="11" customWidth="1"/>
  </cols>
  <sheetData>
    <row r="1" spans="1:18" ht="2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30" customHeight="1">
      <c r="A2" s="1"/>
      <c r="B2" s="2" t="s">
        <v>83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23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23" customHeight="1">
      <c r="A4" s="1"/>
      <c r="B4" s="3" t="s">
        <v>84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23" customHeight="1">
      <c r="A5" s="1"/>
      <c r="B5" s="8" t="s">
        <v>85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36" customHeight="1">
      <c r="A6" s="1"/>
      <c r="B6" s="7" t="s">
        <v>86</v>
      </c>
      <c r="C6" s="7" t="s">
        <v>87</v>
      </c>
      <c r="D6" s="7" t="s">
        <v>88</v>
      </c>
      <c r="E6" s="7" t="s">
        <v>89</v>
      </c>
      <c r="F6" s="7" t="s">
        <v>90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23" customHeight="1">
      <c r="A7" s="1"/>
      <c r="B7" s="1" t="s">
        <v>91</v>
      </c>
      <c r="C7" s="11">
        <v>89443</v>
      </c>
      <c r="D7" s="19">
        <v>4.29</v>
      </c>
      <c r="E7" s="11">
        <v>8289</v>
      </c>
      <c r="F7" s="12">
        <f>IF(C7=0,"",E7/C7)</f>
        <v>9.2673546280871613E-2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3" customHeight="1">
      <c r="A8" s="1"/>
      <c r="B8" s="1" t="s">
        <v>92</v>
      </c>
      <c r="C8" s="11">
        <v>6381</v>
      </c>
      <c r="D8" s="19">
        <v>2.27</v>
      </c>
      <c r="E8" s="11">
        <v>3983</v>
      </c>
      <c r="F8" s="12">
        <f>IF(C8=0,"",E8/C8)</f>
        <v>0.62419683435198248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23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3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23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23" customHeight="1">
      <c r="A12" s="1"/>
      <c r="B12" s="8" t="s">
        <v>93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36" customHeight="1">
      <c r="A13" s="1"/>
      <c r="B13" s="7" t="s">
        <v>86</v>
      </c>
      <c r="C13" s="7" t="s">
        <v>87</v>
      </c>
      <c r="D13" s="7" t="s">
        <v>88</v>
      </c>
      <c r="E13" s="7" t="s">
        <v>89</v>
      </c>
      <c r="F13" s="7" t="s">
        <v>90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23" customHeight="1">
      <c r="A14" s="1"/>
      <c r="B14" s="1" t="s">
        <v>91</v>
      </c>
      <c r="C14" s="11">
        <v>89263</v>
      </c>
      <c r="D14" s="19">
        <v>4.29</v>
      </c>
      <c r="E14" s="11">
        <v>8258</v>
      </c>
      <c r="F14" s="12">
        <f>IF(C14=0,"",E14/C14)</f>
        <v>9.2513135341630914E-2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23" customHeight="1">
      <c r="A15" s="1"/>
      <c r="B15" s="1" t="s">
        <v>92</v>
      </c>
      <c r="C15" s="11">
        <v>1908</v>
      </c>
      <c r="D15" s="19">
        <v>3.72</v>
      </c>
      <c r="E15" s="11">
        <v>371</v>
      </c>
      <c r="F15" s="12">
        <f>IF(C15=0,"",E15/C15)</f>
        <v>0.19444444444444445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23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23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23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23" customHeight="1">
      <c r="A19" s="1"/>
      <c r="B19" s="1" t="s">
        <v>94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36" customHeight="1">
      <c r="A20" s="1"/>
      <c r="B20" s="7" t="s">
        <v>95</v>
      </c>
      <c r="C20" s="7" t="s">
        <v>91</v>
      </c>
      <c r="D20" s="7" t="s">
        <v>92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23" customHeight="1">
      <c r="A21" s="1"/>
      <c r="B21" s="1" t="s">
        <v>96</v>
      </c>
      <c r="C21" s="22">
        <f>D7</f>
        <v>4.29</v>
      </c>
      <c r="D21" s="22">
        <f>D8</f>
        <v>2.27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23" customHeight="1">
      <c r="A22" s="1"/>
      <c r="B22" s="1" t="s">
        <v>97</v>
      </c>
      <c r="C22" s="22">
        <f>D14</f>
        <v>4.29</v>
      </c>
      <c r="D22" s="22">
        <f>D15</f>
        <v>3.72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23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23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23" customHeight="1">
      <c r="A25" s="1"/>
      <c r="B25" s="3" t="s">
        <v>98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23" customHeight="1">
      <c r="A26" s="1"/>
      <c r="B26" s="3" t="s">
        <v>99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23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23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23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23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9"/>
  <sheetViews>
    <sheetView showGridLines="0" workbookViewId="0">
      <pane ySplit="6" topLeftCell="A7" activePane="bottomLeft" state="frozen"/>
      <selection pane="bottomLeft"/>
    </sheetView>
  </sheetViews>
  <sheetFormatPr baseColWidth="10" defaultColWidth="8.83203125" defaultRowHeight="14"/>
  <cols>
    <col min="1" max="1" width="3" customWidth="1"/>
    <col min="2" max="2" width="34" customWidth="1"/>
    <col min="3" max="3" width="68" customWidth="1"/>
    <col min="4" max="4" width="42" customWidth="1"/>
    <col min="5" max="7" width="11" customWidth="1"/>
  </cols>
  <sheetData>
    <row r="1" spans="1:7" ht="23" customHeight="1">
      <c r="A1" s="1"/>
      <c r="B1" s="1"/>
      <c r="C1" s="1"/>
      <c r="D1" s="1"/>
      <c r="E1" s="1"/>
      <c r="F1" s="1"/>
      <c r="G1" s="1"/>
    </row>
    <row r="2" spans="1:7" ht="30" customHeight="1">
      <c r="A2" s="1"/>
      <c r="B2" s="2" t="s">
        <v>100</v>
      </c>
      <c r="C2" s="1"/>
      <c r="D2" s="1"/>
      <c r="E2" s="1"/>
      <c r="F2" s="1"/>
      <c r="G2" s="1"/>
    </row>
    <row r="3" spans="1:7" ht="23" customHeight="1">
      <c r="A3" s="1"/>
      <c r="B3" s="1"/>
      <c r="C3" s="1"/>
      <c r="D3" s="1"/>
      <c r="E3" s="1"/>
      <c r="F3" s="1"/>
      <c r="G3" s="1"/>
    </row>
    <row r="4" spans="1:7" ht="32" customHeight="1">
      <c r="A4" s="1"/>
      <c r="B4" s="1" t="s">
        <v>101</v>
      </c>
      <c r="C4" s="10" t="s">
        <v>102</v>
      </c>
      <c r="D4" s="1"/>
      <c r="E4" s="1"/>
      <c r="F4" s="1"/>
      <c r="G4" s="1"/>
    </row>
    <row r="5" spans="1:7" ht="23" customHeight="1">
      <c r="A5" s="1"/>
      <c r="B5" s="1"/>
      <c r="C5" s="1"/>
      <c r="D5" s="1"/>
      <c r="E5" s="1"/>
      <c r="F5" s="1"/>
      <c r="G5" s="1"/>
    </row>
    <row r="6" spans="1:7" ht="36" customHeight="1">
      <c r="A6" s="1"/>
      <c r="B6" s="7" t="s">
        <v>103</v>
      </c>
      <c r="C6" s="7" t="s">
        <v>104</v>
      </c>
      <c r="D6" s="7" t="s">
        <v>105</v>
      </c>
      <c r="E6" s="1"/>
      <c r="F6" s="1"/>
      <c r="G6" s="1"/>
    </row>
    <row r="7" spans="1:7" ht="42" customHeight="1">
      <c r="A7" s="1"/>
      <c r="B7" s="10" t="s">
        <v>106</v>
      </c>
      <c r="C7" s="10" t="s">
        <v>107</v>
      </c>
      <c r="D7" s="10" t="s">
        <v>108</v>
      </c>
      <c r="E7" s="1"/>
      <c r="F7" s="1"/>
      <c r="G7" s="1"/>
    </row>
    <row r="8" spans="1:7" ht="42" customHeight="1">
      <c r="A8" s="1"/>
      <c r="B8" s="10" t="s">
        <v>109</v>
      </c>
      <c r="C8" s="10" t="s">
        <v>110</v>
      </c>
      <c r="D8" s="10" t="s">
        <v>111</v>
      </c>
      <c r="E8" s="1"/>
      <c r="F8" s="1"/>
      <c r="G8" s="1"/>
    </row>
    <row r="9" spans="1:7" ht="42" customHeight="1">
      <c r="A9" s="1"/>
      <c r="B9" s="10" t="s">
        <v>112</v>
      </c>
      <c r="C9" s="10" t="s">
        <v>113</v>
      </c>
      <c r="D9" s="10" t="s">
        <v>108</v>
      </c>
      <c r="E9" s="1"/>
      <c r="F9" s="1"/>
      <c r="G9" s="1"/>
    </row>
    <row r="10" spans="1:7" ht="42" customHeight="1">
      <c r="A10" s="1"/>
      <c r="B10" s="10" t="s">
        <v>114</v>
      </c>
      <c r="C10" s="10" t="s">
        <v>115</v>
      </c>
      <c r="D10" s="10" t="s">
        <v>108</v>
      </c>
      <c r="E10" s="1"/>
      <c r="F10" s="1"/>
      <c r="G10" s="1"/>
    </row>
    <row r="11" spans="1:7" ht="42" customHeight="1">
      <c r="A11" s="1"/>
      <c r="B11" s="10" t="s">
        <v>116</v>
      </c>
      <c r="C11" s="10" t="s">
        <v>117</v>
      </c>
      <c r="D11" s="10" t="s">
        <v>108</v>
      </c>
      <c r="E11" s="1"/>
      <c r="F11" s="1"/>
      <c r="G11" s="1"/>
    </row>
    <row r="12" spans="1:7" ht="42" customHeight="1">
      <c r="A12" s="1"/>
      <c r="B12" s="10" t="s">
        <v>118</v>
      </c>
      <c r="C12" s="10" t="s">
        <v>119</v>
      </c>
      <c r="D12" s="10" t="s">
        <v>108</v>
      </c>
      <c r="E12" s="1"/>
      <c r="F12" s="1"/>
      <c r="G12" s="1"/>
    </row>
    <row r="13" spans="1:7" ht="42" customHeight="1">
      <c r="A13" s="1"/>
      <c r="B13" s="10" t="s">
        <v>120</v>
      </c>
      <c r="C13" s="10" t="s">
        <v>121</v>
      </c>
      <c r="D13" s="10" t="s">
        <v>122</v>
      </c>
      <c r="E13" s="1"/>
      <c r="F13" s="1"/>
      <c r="G13" s="1"/>
    </row>
    <row r="14" spans="1:7" ht="42" customHeight="1">
      <c r="A14" s="1"/>
      <c r="B14" s="10" t="s">
        <v>123</v>
      </c>
      <c r="C14" s="10" t="s">
        <v>124</v>
      </c>
      <c r="D14" s="10" t="s">
        <v>125</v>
      </c>
      <c r="E14" s="1"/>
      <c r="F14" s="1"/>
      <c r="G14" s="1"/>
    </row>
    <row r="15" spans="1:7" ht="42" customHeight="1">
      <c r="A15" s="1"/>
      <c r="B15" s="10" t="s">
        <v>126</v>
      </c>
      <c r="C15" s="10" t="s">
        <v>127</v>
      </c>
      <c r="D15" s="10" t="s">
        <v>125</v>
      </c>
      <c r="E15" s="1"/>
      <c r="F15" s="1"/>
      <c r="G15" s="1"/>
    </row>
    <row r="16" spans="1:7" ht="42" customHeight="1">
      <c r="A16" s="1"/>
      <c r="B16" s="10" t="s">
        <v>128</v>
      </c>
      <c r="C16" s="10" t="s">
        <v>129</v>
      </c>
      <c r="D16" s="10" t="s">
        <v>130</v>
      </c>
      <c r="E16" s="1"/>
      <c r="F16" s="1"/>
      <c r="G16" s="1"/>
    </row>
    <row r="17" spans="1:7" ht="42" customHeight="1">
      <c r="A17" s="1"/>
      <c r="B17" s="10" t="s">
        <v>131</v>
      </c>
      <c r="C17" s="10" t="s">
        <v>132</v>
      </c>
      <c r="D17" s="10" t="s">
        <v>133</v>
      </c>
      <c r="E17" s="1"/>
      <c r="F17" s="1"/>
      <c r="G17" s="1"/>
    </row>
    <row r="18" spans="1:7" ht="42" customHeight="1">
      <c r="A18" s="1"/>
      <c r="B18" s="10" t="s">
        <v>134</v>
      </c>
      <c r="C18" s="10" t="s">
        <v>135</v>
      </c>
      <c r="D18" s="10" t="s">
        <v>136</v>
      </c>
      <c r="E18" s="1"/>
      <c r="F18" s="1"/>
      <c r="G18" s="1"/>
    </row>
    <row r="19" spans="1:7" ht="42" customHeight="1">
      <c r="A19" s="1"/>
      <c r="B19" s="10" t="s">
        <v>46</v>
      </c>
      <c r="C19" s="10" t="s">
        <v>137</v>
      </c>
      <c r="D19" s="10" t="s">
        <v>136</v>
      </c>
      <c r="E19" s="1"/>
      <c r="F19" s="1"/>
      <c r="G19" s="1"/>
    </row>
    <row r="20" spans="1:7" ht="42" customHeight="1">
      <c r="A20" s="1"/>
      <c r="B20" s="10" t="s">
        <v>20</v>
      </c>
      <c r="C20" s="10" t="s">
        <v>138</v>
      </c>
      <c r="D20" s="10" t="s">
        <v>139</v>
      </c>
      <c r="E20" s="1"/>
      <c r="F20" s="1"/>
      <c r="G20" s="1"/>
    </row>
    <row r="21" spans="1:7" ht="42" customHeight="1">
      <c r="A21" s="1"/>
      <c r="B21" s="10" t="s">
        <v>48</v>
      </c>
      <c r="C21" s="10" t="s">
        <v>140</v>
      </c>
      <c r="D21" s="10" t="s">
        <v>141</v>
      </c>
      <c r="E21" s="1"/>
      <c r="F21" s="1"/>
      <c r="G21" s="1"/>
    </row>
    <row r="22" spans="1:7" ht="42" customHeight="1">
      <c r="A22" s="1"/>
      <c r="B22" s="10" t="s">
        <v>47</v>
      </c>
      <c r="C22" s="10" t="s">
        <v>142</v>
      </c>
      <c r="D22" s="10" t="s">
        <v>143</v>
      </c>
      <c r="E22" s="1"/>
      <c r="F22" s="1"/>
      <c r="G22" s="1"/>
    </row>
    <row r="23" spans="1:7" ht="42" customHeight="1">
      <c r="A23" s="1"/>
      <c r="B23" s="10" t="s">
        <v>144</v>
      </c>
      <c r="C23" s="10" t="s">
        <v>145</v>
      </c>
      <c r="D23" s="10" t="s">
        <v>146</v>
      </c>
      <c r="E23" s="1"/>
      <c r="F23" s="1"/>
      <c r="G23" s="1"/>
    </row>
    <row r="24" spans="1:7" ht="42" customHeight="1">
      <c r="A24" s="1"/>
      <c r="B24" s="10" t="s">
        <v>147</v>
      </c>
      <c r="C24" s="10" t="s">
        <v>148</v>
      </c>
      <c r="D24" s="10" t="s">
        <v>149</v>
      </c>
      <c r="E24" s="1"/>
      <c r="F24" s="1"/>
      <c r="G24" s="1"/>
    </row>
    <row r="25" spans="1:7" ht="42" customHeight="1">
      <c r="A25" s="1"/>
      <c r="B25" s="10" t="s">
        <v>150</v>
      </c>
      <c r="C25" s="10" t="s">
        <v>151</v>
      </c>
      <c r="D25" s="10" t="s">
        <v>152</v>
      </c>
      <c r="E25" s="1"/>
      <c r="F25" s="1"/>
      <c r="G25" s="1"/>
    </row>
    <row r="26" spans="1:7" ht="42" customHeight="1">
      <c r="A26" s="1"/>
      <c r="B26" s="10" t="s">
        <v>90</v>
      </c>
      <c r="C26" s="10" t="s">
        <v>153</v>
      </c>
      <c r="D26" s="10" t="s">
        <v>154</v>
      </c>
      <c r="E26" s="1"/>
      <c r="F26" s="1"/>
      <c r="G26" s="1"/>
    </row>
    <row r="27" spans="1:7" ht="42" customHeight="1">
      <c r="A27" s="1"/>
      <c r="B27" s="10" t="s">
        <v>155</v>
      </c>
      <c r="C27" s="10" t="s">
        <v>156</v>
      </c>
      <c r="D27" s="10" t="s">
        <v>157</v>
      </c>
      <c r="E27" s="1"/>
      <c r="F27" s="1"/>
      <c r="G27" s="1"/>
    </row>
    <row r="28" spans="1:7" ht="42" customHeight="1">
      <c r="A28" s="1"/>
      <c r="B28" s="10" t="s">
        <v>158</v>
      </c>
      <c r="C28" s="10" t="s">
        <v>159</v>
      </c>
      <c r="D28" s="10" t="s">
        <v>160</v>
      </c>
      <c r="E28" s="1"/>
      <c r="F28" s="1"/>
      <c r="G28" s="1"/>
    </row>
    <row r="29" spans="1:7" ht="42" customHeight="1">
      <c r="A29" s="1"/>
      <c r="B29" s="10" t="s">
        <v>161</v>
      </c>
      <c r="C29" s="10" t="s">
        <v>162</v>
      </c>
      <c r="D29" s="10" t="s">
        <v>163</v>
      </c>
      <c r="E29" s="1"/>
      <c r="F29" s="1"/>
      <c r="G29" s="1"/>
    </row>
    <row r="30" spans="1:7" ht="23" customHeight="1">
      <c r="A30" s="1"/>
      <c r="B30" s="1"/>
      <c r="C30" s="1"/>
      <c r="D30" s="1"/>
      <c r="E30" s="1"/>
      <c r="F30" s="1"/>
      <c r="G30" s="1"/>
    </row>
    <row r="31" spans="1:7" ht="23" customHeight="1">
      <c r="A31" s="1"/>
      <c r="B31" s="1"/>
      <c r="C31" s="1"/>
      <c r="D31" s="1"/>
      <c r="E31" s="1"/>
      <c r="F31" s="1"/>
      <c r="G31" s="1"/>
    </row>
    <row r="32" spans="1:7" ht="23" customHeight="1">
      <c r="A32" s="1"/>
      <c r="B32" s="1"/>
      <c r="C32" s="1"/>
      <c r="D32" s="1"/>
      <c r="E32" s="1"/>
      <c r="F32" s="1"/>
      <c r="G32" s="1"/>
    </row>
    <row r="33" spans="1:7" ht="23" customHeight="1">
      <c r="A33" s="1"/>
      <c r="B33" s="9" t="s">
        <v>164</v>
      </c>
      <c r="C33" s="1"/>
      <c r="D33" s="1"/>
      <c r="E33" s="1"/>
      <c r="F33" s="1"/>
      <c r="G33" s="1"/>
    </row>
    <row r="34" spans="1:7" ht="23" customHeight="1">
      <c r="A34" s="1"/>
      <c r="B34" s="1"/>
      <c r="C34" s="1"/>
      <c r="D34" s="1"/>
      <c r="E34" s="1"/>
      <c r="F34" s="1"/>
      <c r="G34" s="1"/>
    </row>
    <row r="35" spans="1:7" ht="34" customHeight="1">
      <c r="A35" s="1"/>
      <c r="B35" s="10" t="s">
        <v>165</v>
      </c>
      <c r="C35" s="10" t="s">
        <v>166</v>
      </c>
      <c r="D35" s="1"/>
      <c r="E35" s="1"/>
      <c r="F35" s="1"/>
      <c r="G35" s="1"/>
    </row>
    <row r="36" spans="1:7" ht="34" customHeight="1">
      <c r="A36" s="1"/>
      <c r="B36" s="10" t="s">
        <v>139</v>
      </c>
      <c r="C36" s="10" t="s">
        <v>167</v>
      </c>
      <c r="D36" s="1"/>
      <c r="E36" s="1"/>
      <c r="F36" s="1"/>
      <c r="G36" s="1"/>
    </row>
    <row r="37" spans="1:7" ht="34" customHeight="1">
      <c r="A37" s="1"/>
      <c r="B37" s="10" t="s">
        <v>168</v>
      </c>
      <c r="C37" s="10" t="s">
        <v>169</v>
      </c>
      <c r="D37" s="1"/>
      <c r="E37" s="1"/>
      <c r="F37" s="1"/>
      <c r="G37" s="1"/>
    </row>
    <row r="38" spans="1:7" ht="34" customHeight="1">
      <c r="A38" s="1"/>
      <c r="B38" s="10" t="s">
        <v>170</v>
      </c>
      <c r="C38" s="10" t="s">
        <v>171</v>
      </c>
      <c r="D38" s="1"/>
      <c r="E38" s="1"/>
      <c r="F38" s="1"/>
      <c r="G38" s="1"/>
    </row>
    <row r="39" spans="1:7" ht="34" customHeight="1">
      <c r="A39" s="1"/>
      <c r="B39" s="10" t="s">
        <v>172</v>
      </c>
      <c r="C39" s="10" t="s">
        <v>173</v>
      </c>
      <c r="D39" s="1"/>
      <c r="E39" s="1"/>
      <c r="F39" s="1"/>
      <c r="G39" s="1"/>
    </row>
    <row r="40" spans="1:7" ht="34" customHeight="1">
      <c r="A40" s="1"/>
      <c r="B40" s="10" t="s">
        <v>174</v>
      </c>
      <c r="C40" s="10" t="s">
        <v>175</v>
      </c>
      <c r="D40" s="1"/>
      <c r="E40" s="1"/>
      <c r="F40" s="1"/>
      <c r="G40" s="1"/>
    </row>
    <row r="41" spans="1:7" ht="34" customHeight="1">
      <c r="A41" s="1"/>
      <c r="B41" s="10" t="s">
        <v>176</v>
      </c>
      <c r="C41" s="10" t="s">
        <v>177</v>
      </c>
      <c r="D41" s="1"/>
      <c r="E41" s="1"/>
      <c r="F41" s="1"/>
      <c r="G41" s="1"/>
    </row>
    <row r="42" spans="1:7" ht="34" customHeight="1">
      <c r="A42" s="1"/>
      <c r="B42" s="10" t="s">
        <v>178</v>
      </c>
      <c r="C42" s="10" t="s">
        <v>179</v>
      </c>
      <c r="D42" s="1"/>
      <c r="E42" s="1"/>
      <c r="F42" s="1"/>
      <c r="G42" s="1"/>
    </row>
    <row r="43" spans="1:7" ht="23" customHeight="1">
      <c r="A43" s="1"/>
      <c r="B43" s="1"/>
      <c r="C43" s="1"/>
      <c r="D43" s="1"/>
      <c r="E43" s="1"/>
      <c r="F43" s="1"/>
      <c r="G43" s="1"/>
    </row>
    <row r="44" spans="1:7" ht="23" customHeight="1">
      <c r="A44" s="1"/>
      <c r="B44" s="1"/>
      <c r="C44" s="1"/>
      <c r="D44" s="1"/>
      <c r="E44" s="1"/>
      <c r="F44" s="1"/>
      <c r="G44" s="1"/>
    </row>
    <row r="45" spans="1:7" ht="23" customHeight="1">
      <c r="A45" s="1"/>
      <c r="B45" s="1"/>
      <c r="C45" s="1"/>
      <c r="D45" s="1"/>
      <c r="E45" s="1"/>
      <c r="F45" s="1"/>
      <c r="G45" s="1"/>
    </row>
    <row r="46" spans="1:7" ht="23" customHeight="1">
      <c r="A46" s="1"/>
      <c r="B46" s="1"/>
      <c r="C46" s="1"/>
      <c r="D46" s="1"/>
      <c r="E46" s="1"/>
      <c r="F46" s="1"/>
      <c r="G46" s="1"/>
    </row>
    <row r="47" spans="1:7" ht="23" customHeight="1">
      <c r="A47" s="1"/>
      <c r="B47" s="1"/>
      <c r="C47" s="1"/>
      <c r="D47" s="1"/>
      <c r="E47" s="1"/>
      <c r="F47" s="1"/>
      <c r="G47" s="1"/>
    </row>
    <row r="48" spans="1:7" ht="23" customHeight="1">
      <c r="A48" s="1"/>
      <c r="B48" s="1"/>
      <c r="C48" s="1"/>
      <c r="D48" s="1"/>
      <c r="E48" s="1"/>
      <c r="F48" s="1"/>
      <c r="G48" s="1"/>
    </row>
    <row r="49" spans="1:7" ht="23" customHeight="1">
      <c r="A49" s="1"/>
      <c r="B49" s="1"/>
      <c r="C49" s="1"/>
      <c r="D49" s="1"/>
      <c r="E49" s="1"/>
      <c r="F49" s="1"/>
      <c r="G4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 Summary</vt:lpstr>
      <vt:lpstr>Monthly Delivery</vt:lpstr>
      <vt:lpstr>Regional Performance</vt:lpstr>
      <vt:lpstr>Customer Satisfaction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Pranata</cp:lastModifiedBy>
  <dcterms:modified xsi:type="dcterms:W3CDTF">2026-10-27T05:17:20Z</dcterms:modified>
</cp:coreProperties>
</file>